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CR Maestria\2026\Semestre 2\Metodologias Agiles Para Desarrollo de Software\Tarea Matriz de decisión Metodología Valor 5pst\"/>
    </mc:Choice>
  </mc:AlternateContent>
  <xr:revisionPtr revIDLastSave="0" documentId="13_ncr:1_{98610735-F2E6-4E5D-9EF5-F8DEC9D9592D}" xr6:coauthVersionLast="47" xr6:coauthVersionMax="47" xr10:uidLastSave="{00000000-0000-0000-0000-000000000000}"/>
  <bookViews>
    <workbookView xWindow="-96" yWindow="-96" windowWidth="23232" windowHeight="12432" xr2:uid="{00000000-000D-0000-FFFF-FFFF00000000}"/>
  </bookViews>
  <sheets>
    <sheet name="Instrucciones" sheetId="1" r:id="rId1"/>
    <sheet name="Resumen" sheetId="2" r:id="rId2"/>
    <sheet name="1_Criterios_Pesos" sheetId="3" r:id="rId3"/>
    <sheet name="2_Escalas_Reglas" sheetId="4" r:id="rId4"/>
    <sheet name="3_Reglas_Decision" sheetId="5" r:id="rId5"/>
    <sheet name="Aux_Sensibilidad" sheetId="6" r:id="rId6"/>
    <sheet name="Plantilla" sheetId="7" r:id="rId7"/>
    <sheet name="Caso1_Banco" sheetId="8" r:id="rId8"/>
    <sheet name="Caso2_Aseguradora" sheetId="9" r:id="rId9"/>
    <sheet name="Caso3_Servicios" sheetId="10" r:id="rId10"/>
    <sheet name="Caso4A_Cambio" sheetId="11" r:id="rId11"/>
    <sheet name="Caso4B_Faltante" sheetId="12" r:id="rId12"/>
  </sheets>
  <definedNames>
    <definedName name="PUNTAJE_NEUTRO">'3_Reglas_Decision'!$B$5</definedName>
    <definedName name="UMBRAL_EMPATE">'3_Reglas_Decision'!$B$4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U12" i="12"/>
  <c r="T12" i="12"/>
  <c r="S12" i="12"/>
  <c r="R12" i="12"/>
  <c r="I12" i="12"/>
  <c r="D12" i="12"/>
  <c r="C12" i="12"/>
  <c r="B12" i="12"/>
  <c r="M11" i="12"/>
  <c r="L11" i="12"/>
  <c r="K11" i="12"/>
  <c r="J11" i="12"/>
  <c r="I11" i="12"/>
  <c r="D11" i="12"/>
  <c r="C11" i="12"/>
  <c r="B11" i="12"/>
  <c r="M10" i="12"/>
  <c r="L10" i="12"/>
  <c r="K10" i="12"/>
  <c r="J10" i="12"/>
  <c r="I10" i="12"/>
  <c r="D10" i="12"/>
  <c r="C10" i="12"/>
  <c r="B10" i="12"/>
  <c r="U9" i="12"/>
  <c r="T9" i="12"/>
  <c r="S9" i="12"/>
  <c r="R9" i="12"/>
  <c r="I9" i="12"/>
  <c r="D9" i="12"/>
  <c r="C9" i="12"/>
  <c r="B9" i="12"/>
  <c r="U8" i="12"/>
  <c r="T8" i="12"/>
  <c r="S8" i="12"/>
  <c r="R8" i="12"/>
  <c r="I8" i="12"/>
  <c r="D8" i="12"/>
  <c r="C8" i="12"/>
  <c r="B8" i="12"/>
  <c r="U7" i="12"/>
  <c r="T7" i="12"/>
  <c r="S7" i="12"/>
  <c r="R7" i="12"/>
  <c r="I7" i="12"/>
  <c r="D7" i="12"/>
  <c r="C7" i="12"/>
  <c r="B7" i="12"/>
  <c r="M6" i="12"/>
  <c r="L6" i="12"/>
  <c r="K6" i="12"/>
  <c r="J6" i="12"/>
  <c r="I6" i="12"/>
  <c r="D6" i="12"/>
  <c r="C6" i="12"/>
  <c r="B6" i="12"/>
  <c r="C29" i="11"/>
  <c r="U12" i="11"/>
  <c r="T12" i="11"/>
  <c r="S12" i="11"/>
  <c r="R12" i="11"/>
  <c r="I12" i="11"/>
  <c r="D12" i="11"/>
  <c r="C12" i="11"/>
  <c r="B12" i="11"/>
  <c r="M11" i="11"/>
  <c r="L11" i="11"/>
  <c r="K11" i="11"/>
  <c r="J11" i="11"/>
  <c r="I11" i="11"/>
  <c r="D11" i="11"/>
  <c r="C11" i="11"/>
  <c r="C30" i="11" s="1"/>
  <c r="B11" i="11"/>
  <c r="U10" i="11"/>
  <c r="T10" i="11"/>
  <c r="S10" i="11"/>
  <c r="R10" i="11"/>
  <c r="I10" i="11"/>
  <c r="D10" i="11"/>
  <c r="C10" i="11"/>
  <c r="B10" i="11"/>
  <c r="U9" i="11"/>
  <c r="T9" i="11"/>
  <c r="S9" i="11"/>
  <c r="R9" i="11"/>
  <c r="I9" i="11"/>
  <c r="D9" i="11"/>
  <c r="C9" i="11"/>
  <c r="B9" i="11"/>
  <c r="U8" i="11"/>
  <c r="T8" i="11"/>
  <c r="S8" i="11"/>
  <c r="R8" i="11"/>
  <c r="I8" i="11"/>
  <c r="D8" i="11"/>
  <c r="C8" i="11"/>
  <c r="B8" i="11"/>
  <c r="U7" i="11"/>
  <c r="T7" i="11"/>
  <c r="S7" i="11"/>
  <c r="R7" i="11"/>
  <c r="I7" i="11"/>
  <c r="D7" i="11"/>
  <c r="C7" i="11"/>
  <c r="B7" i="11"/>
  <c r="U6" i="11"/>
  <c r="T6" i="11"/>
  <c r="S6" i="11"/>
  <c r="R6" i="11"/>
  <c r="I6" i="11"/>
  <c r="D6" i="11"/>
  <c r="C6" i="11"/>
  <c r="B6" i="11"/>
  <c r="C30" i="10"/>
  <c r="C31" i="10" s="1"/>
  <c r="I6" i="2" s="1"/>
  <c r="U12" i="10"/>
  <c r="T12" i="10"/>
  <c r="S12" i="10"/>
  <c r="R12" i="10"/>
  <c r="I12" i="10"/>
  <c r="D12" i="10"/>
  <c r="C12" i="10"/>
  <c r="B12" i="10"/>
  <c r="U11" i="10"/>
  <c r="T11" i="10"/>
  <c r="S11" i="10"/>
  <c r="R11" i="10"/>
  <c r="I11" i="10"/>
  <c r="D11" i="10"/>
  <c r="C11" i="10"/>
  <c r="B11" i="10"/>
  <c r="U10" i="10"/>
  <c r="T10" i="10"/>
  <c r="S10" i="10"/>
  <c r="R10" i="10"/>
  <c r="I10" i="10"/>
  <c r="D10" i="10"/>
  <c r="C10" i="10"/>
  <c r="B10" i="10"/>
  <c r="U9" i="10"/>
  <c r="T9" i="10"/>
  <c r="S9" i="10"/>
  <c r="R9" i="10"/>
  <c r="I9" i="10"/>
  <c r="D9" i="10"/>
  <c r="C9" i="10"/>
  <c r="B9" i="10"/>
  <c r="U8" i="10"/>
  <c r="T8" i="10"/>
  <c r="S8" i="10"/>
  <c r="R8" i="10"/>
  <c r="I8" i="10"/>
  <c r="D8" i="10"/>
  <c r="C8" i="10"/>
  <c r="C29" i="10" s="1"/>
  <c r="B8" i="10"/>
  <c r="U7" i="10"/>
  <c r="T7" i="10"/>
  <c r="S7" i="10"/>
  <c r="R7" i="10"/>
  <c r="I7" i="10"/>
  <c r="D7" i="10"/>
  <c r="C7" i="10"/>
  <c r="C28" i="10" s="1"/>
  <c r="B7" i="10"/>
  <c r="U6" i="10"/>
  <c r="U13" i="10" s="1"/>
  <c r="O20" i="10" s="1"/>
  <c r="T6" i="10"/>
  <c r="S6" i="10"/>
  <c r="R6" i="10"/>
  <c r="I6" i="10"/>
  <c r="D6" i="10"/>
  <c r="C6" i="10"/>
  <c r="B6" i="10"/>
  <c r="M12" i="9"/>
  <c r="L12" i="9"/>
  <c r="K12" i="9"/>
  <c r="J12" i="9"/>
  <c r="I12" i="9"/>
  <c r="D12" i="9"/>
  <c r="C12" i="9"/>
  <c r="B12" i="9"/>
  <c r="M11" i="9"/>
  <c r="L11" i="9"/>
  <c r="K11" i="9"/>
  <c r="J11" i="9"/>
  <c r="I11" i="9"/>
  <c r="D11" i="9"/>
  <c r="C11" i="9"/>
  <c r="B11" i="9"/>
  <c r="U10" i="9"/>
  <c r="T10" i="9"/>
  <c r="S10" i="9"/>
  <c r="R10" i="9"/>
  <c r="I10" i="9"/>
  <c r="D10" i="9"/>
  <c r="C10" i="9"/>
  <c r="B10" i="9"/>
  <c r="U9" i="9"/>
  <c r="T9" i="9"/>
  <c r="S9" i="9"/>
  <c r="R9" i="9"/>
  <c r="I9" i="9"/>
  <c r="D9" i="9"/>
  <c r="C9" i="9"/>
  <c r="C29" i="9" s="1"/>
  <c r="B9" i="9"/>
  <c r="U8" i="9"/>
  <c r="T8" i="9"/>
  <c r="S8" i="9"/>
  <c r="R8" i="9"/>
  <c r="I8" i="9"/>
  <c r="D8" i="9"/>
  <c r="C8" i="9"/>
  <c r="B8" i="9"/>
  <c r="U7" i="9"/>
  <c r="T7" i="9"/>
  <c r="S7" i="9"/>
  <c r="R7" i="9"/>
  <c r="I7" i="9"/>
  <c r="D7" i="9"/>
  <c r="C7" i="9"/>
  <c r="B7" i="9"/>
  <c r="U6" i="9"/>
  <c r="T6" i="9"/>
  <c r="S6" i="9"/>
  <c r="R6" i="9"/>
  <c r="I6" i="9"/>
  <c r="D6" i="9"/>
  <c r="C6" i="9"/>
  <c r="C28" i="9" s="1"/>
  <c r="B6" i="9"/>
  <c r="U12" i="8"/>
  <c r="T12" i="8"/>
  <c r="S12" i="8"/>
  <c r="R12" i="8"/>
  <c r="I12" i="8"/>
  <c r="D12" i="8"/>
  <c r="C12" i="8"/>
  <c r="C29" i="8" s="1"/>
  <c r="B12" i="8"/>
  <c r="M11" i="8"/>
  <c r="L11" i="8"/>
  <c r="K11" i="8"/>
  <c r="J11" i="8"/>
  <c r="I11" i="8"/>
  <c r="D11" i="8"/>
  <c r="C11" i="8"/>
  <c r="C30" i="8" s="1"/>
  <c r="B11" i="8"/>
  <c r="U10" i="8"/>
  <c r="T10" i="8"/>
  <c r="S10" i="8"/>
  <c r="R10" i="8"/>
  <c r="I10" i="8"/>
  <c r="D10" i="8"/>
  <c r="C10" i="8"/>
  <c r="B10" i="8"/>
  <c r="U9" i="8"/>
  <c r="T9" i="8"/>
  <c r="S9" i="8"/>
  <c r="R9" i="8"/>
  <c r="I9" i="8"/>
  <c r="D9" i="8"/>
  <c r="C9" i="8"/>
  <c r="B9" i="8"/>
  <c r="U8" i="8"/>
  <c r="T8" i="8"/>
  <c r="S8" i="8"/>
  <c r="R8" i="8"/>
  <c r="I8" i="8"/>
  <c r="D8" i="8"/>
  <c r="C8" i="8"/>
  <c r="B8" i="8"/>
  <c r="U7" i="8"/>
  <c r="T7" i="8"/>
  <c r="S7" i="8"/>
  <c r="R7" i="8"/>
  <c r="I7" i="8"/>
  <c r="D7" i="8"/>
  <c r="C7" i="8"/>
  <c r="B7" i="8"/>
  <c r="U6" i="8"/>
  <c r="T6" i="8"/>
  <c r="S6" i="8"/>
  <c r="R6" i="8"/>
  <c r="I6" i="8"/>
  <c r="D6" i="8"/>
  <c r="C6" i="8"/>
  <c r="B6" i="8"/>
  <c r="C30" i="7"/>
  <c r="C31" i="7" s="1"/>
  <c r="C29" i="7"/>
  <c r="C28" i="7"/>
  <c r="U12" i="7"/>
  <c r="T12" i="7"/>
  <c r="S12" i="7"/>
  <c r="R12" i="7"/>
  <c r="I12" i="7"/>
  <c r="D12" i="7"/>
  <c r="C12" i="7"/>
  <c r="B12" i="7"/>
  <c r="U11" i="7"/>
  <c r="T11" i="7"/>
  <c r="S11" i="7"/>
  <c r="R11" i="7"/>
  <c r="I11" i="7"/>
  <c r="D11" i="7"/>
  <c r="C11" i="7"/>
  <c r="B11" i="7"/>
  <c r="U10" i="7"/>
  <c r="T10" i="7"/>
  <c r="S10" i="7"/>
  <c r="R10" i="7"/>
  <c r="I10" i="7"/>
  <c r="D10" i="7"/>
  <c r="C10" i="7"/>
  <c r="B10" i="7"/>
  <c r="U9" i="7"/>
  <c r="T9" i="7"/>
  <c r="S9" i="7"/>
  <c r="R9" i="7"/>
  <c r="I9" i="7"/>
  <c r="D9" i="7"/>
  <c r="C9" i="7"/>
  <c r="B9" i="7"/>
  <c r="U8" i="7"/>
  <c r="T8" i="7"/>
  <c r="S8" i="7"/>
  <c r="R8" i="7"/>
  <c r="I8" i="7"/>
  <c r="D8" i="7"/>
  <c r="C8" i="7"/>
  <c r="B8" i="7"/>
  <c r="U7" i="7"/>
  <c r="T7" i="7"/>
  <c r="S7" i="7"/>
  <c r="R7" i="7"/>
  <c r="I7" i="7"/>
  <c r="D7" i="7"/>
  <c r="C7" i="7"/>
  <c r="B7" i="7"/>
  <c r="U6" i="7"/>
  <c r="T6" i="7"/>
  <c r="T13" i="7" s="1"/>
  <c r="O19" i="7" s="1"/>
  <c r="S6" i="7"/>
  <c r="R6" i="7"/>
  <c r="I6" i="7"/>
  <c r="D6" i="7"/>
  <c r="C6" i="7"/>
  <c r="B6" i="7"/>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I6" i="6"/>
  <c r="H6" i="6"/>
  <c r="G6" i="6"/>
  <c r="F6" i="6"/>
  <c r="E6" i="6"/>
  <c r="D6" i="6"/>
  <c r="C6" i="6"/>
  <c r="B6" i="6"/>
  <c r="I5" i="6"/>
  <c r="H5" i="6"/>
  <c r="G5" i="6"/>
  <c r="F5" i="6"/>
  <c r="E5" i="6"/>
  <c r="D5" i="6"/>
  <c r="C5" i="6"/>
  <c r="B5" i="6"/>
  <c r="A37" i="4"/>
  <c r="A36" i="4"/>
  <c r="A35" i="4"/>
  <c r="A34" i="4"/>
  <c r="A33" i="4"/>
  <c r="A32" i="4"/>
  <c r="A31" i="4"/>
  <c r="A30" i="4"/>
  <c r="A29" i="4"/>
  <c r="A28" i="4"/>
  <c r="A27" i="4"/>
  <c r="A26" i="4"/>
  <c r="A25" i="4"/>
  <c r="A24" i="4"/>
  <c r="A23" i="4"/>
  <c r="A22" i="4"/>
  <c r="A21" i="4"/>
  <c r="A20" i="4"/>
  <c r="A19" i="4"/>
  <c r="A18" i="4"/>
  <c r="A17" i="4"/>
  <c r="A16" i="4"/>
  <c r="A15" i="4"/>
  <c r="D12" i="3"/>
  <c r="E12" i="3" s="1"/>
  <c r="J8" i="2"/>
  <c r="J7" i="2"/>
  <c r="J6" i="2"/>
  <c r="J5" i="2"/>
  <c r="J4" i="2"/>
  <c r="L7" i="8" l="1"/>
  <c r="P7" i="8" s="1"/>
  <c r="U13" i="7"/>
  <c r="O20" i="7" s="1"/>
  <c r="S13" i="7"/>
  <c r="O18" i="7" s="1"/>
  <c r="R13" i="7"/>
  <c r="O17" i="7" s="1"/>
  <c r="C28" i="11"/>
  <c r="Q11" i="8"/>
  <c r="Q10" i="12"/>
  <c r="P10" i="12"/>
  <c r="O10" i="12"/>
  <c r="Q11" i="12"/>
  <c r="P11" i="12"/>
  <c r="O11" i="12"/>
  <c r="N11" i="12"/>
  <c r="N10" i="12"/>
  <c r="Q11" i="11"/>
  <c r="O11" i="11"/>
  <c r="C29" i="12"/>
  <c r="O6" i="12"/>
  <c r="N6" i="12"/>
  <c r="P11" i="11"/>
  <c r="N11" i="11"/>
  <c r="T13" i="10"/>
  <c r="O19" i="10" s="1"/>
  <c r="S13" i="10"/>
  <c r="O18" i="10" s="1"/>
  <c r="R13" i="10"/>
  <c r="O17" i="10" s="1"/>
  <c r="Q12" i="9"/>
  <c r="P12" i="9"/>
  <c r="O12" i="9"/>
  <c r="N12" i="9"/>
  <c r="Q11" i="9"/>
  <c r="P11" i="9"/>
  <c r="O11" i="9"/>
  <c r="N11" i="9"/>
  <c r="P11" i="8"/>
  <c r="O11" i="8"/>
  <c r="N11" i="8"/>
  <c r="C28" i="8"/>
  <c r="M12" i="12"/>
  <c r="Q12" i="12" s="1"/>
  <c r="L12" i="12"/>
  <c r="P12" i="12" s="1"/>
  <c r="K12" i="12"/>
  <c r="O12" i="12" s="1"/>
  <c r="J12" i="12"/>
  <c r="N12" i="12" s="1"/>
  <c r="M9" i="12"/>
  <c r="Q9" i="12" s="1"/>
  <c r="L9" i="12"/>
  <c r="P9" i="12" s="1"/>
  <c r="K9" i="12"/>
  <c r="O9" i="12" s="1"/>
  <c r="J9" i="12"/>
  <c r="N9" i="12" s="1"/>
  <c r="M8" i="12"/>
  <c r="Q8" i="12" s="1"/>
  <c r="K8" i="12"/>
  <c r="O8" i="12" s="1"/>
  <c r="J8" i="12"/>
  <c r="N8" i="12" s="1"/>
  <c r="L8" i="12"/>
  <c r="P8" i="12" s="1"/>
  <c r="K7" i="12"/>
  <c r="M7" i="12"/>
  <c r="L7" i="12"/>
  <c r="J7" i="12"/>
  <c r="I20" i="12"/>
  <c r="Q6" i="12"/>
  <c r="J20" i="12" s="1"/>
  <c r="I19" i="12"/>
  <c r="P6" i="12"/>
  <c r="C30" i="12"/>
  <c r="K12" i="11"/>
  <c r="O12" i="11" s="1"/>
  <c r="L12" i="11"/>
  <c r="P12" i="11" s="1"/>
  <c r="M12" i="11"/>
  <c r="Q12" i="11" s="1"/>
  <c r="J12" i="11"/>
  <c r="N12" i="11" s="1"/>
  <c r="J10" i="11"/>
  <c r="N10" i="11" s="1"/>
  <c r="M10" i="11"/>
  <c r="Q10" i="11" s="1"/>
  <c r="L10" i="11"/>
  <c r="P10" i="11" s="1"/>
  <c r="K10" i="11"/>
  <c r="O10" i="11" s="1"/>
  <c r="M9" i="11"/>
  <c r="Q9" i="11" s="1"/>
  <c r="L9" i="11"/>
  <c r="P9" i="11" s="1"/>
  <c r="K9" i="11"/>
  <c r="O9" i="11" s="1"/>
  <c r="J9" i="11"/>
  <c r="N9" i="11" s="1"/>
  <c r="J8" i="11"/>
  <c r="N8" i="11" s="1"/>
  <c r="K8" i="11"/>
  <c r="O8" i="11" s="1"/>
  <c r="L8" i="11"/>
  <c r="P8" i="11" s="1"/>
  <c r="M8" i="11"/>
  <c r="Q8" i="11" s="1"/>
  <c r="L7" i="11"/>
  <c r="P7" i="11" s="1"/>
  <c r="K7" i="11"/>
  <c r="O7" i="11" s="1"/>
  <c r="M7" i="11"/>
  <c r="Q7" i="11" s="1"/>
  <c r="J7" i="11"/>
  <c r="N7" i="11" s="1"/>
  <c r="M6" i="11"/>
  <c r="L6" i="11"/>
  <c r="K6" i="11"/>
  <c r="J6" i="11"/>
  <c r="L12" i="10"/>
  <c r="P12" i="10" s="1"/>
  <c r="K12" i="10"/>
  <c r="O12" i="10" s="1"/>
  <c r="J12" i="10"/>
  <c r="N12" i="10" s="1"/>
  <c r="M12" i="10"/>
  <c r="Q12" i="10" s="1"/>
  <c r="L11" i="10"/>
  <c r="P11" i="10" s="1"/>
  <c r="M11" i="10"/>
  <c r="Q11" i="10" s="1"/>
  <c r="J11" i="10"/>
  <c r="N11" i="10" s="1"/>
  <c r="K11" i="10"/>
  <c r="O11" i="10" s="1"/>
  <c r="L10" i="10"/>
  <c r="P10" i="10" s="1"/>
  <c r="K10" i="10"/>
  <c r="O10" i="10" s="1"/>
  <c r="J10" i="10"/>
  <c r="N10" i="10" s="1"/>
  <c r="M9" i="10"/>
  <c r="Q9" i="10" s="1"/>
  <c r="L9" i="10"/>
  <c r="P9" i="10" s="1"/>
  <c r="J9" i="10"/>
  <c r="N9" i="10" s="1"/>
  <c r="K9" i="10"/>
  <c r="O9" i="10" s="1"/>
  <c r="K8" i="10"/>
  <c r="O8" i="10" s="1"/>
  <c r="M8" i="10"/>
  <c r="Q8" i="10" s="1"/>
  <c r="L8" i="10"/>
  <c r="P8" i="10" s="1"/>
  <c r="J8" i="10"/>
  <c r="N8" i="10" s="1"/>
  <c r="M7" i="10"/>
  <c r="Q7" i="10" s="1"/>
  <c r="J7" i="10"/>
  <c r="N7" i="10" s="1"/>
  <c r="L7" i="10"/>
  <c r="P7" i="10" s="1"/>
  <c r="K7" i="10"/>
  <c r="O7" i="10" s="1"/>
  <c r="J6" i="10"/>
  <c r="L6" i="10"/>
  <c r="K6" i="10"/>
  <c r="C30" i="9"/>
  <c r="K10" i="9"/>
  <c r="O10" i="9" s="1"/>
  <c r="J10" i="9"/>
  <c r="N10" i="9" s="1"/>
  <c r="M10" i="9"/>
  <c r="Q10" i="9" s="1"/>
  <c r="L10" i="9"/>
  <c r="P10" i="9" s="1"/>
  <c r="J9" i="9"/>
  <c r="N9" i="9" s="1"/>
  <c r="L9" i="9"/>
  <c r="P9" i="9" s="1"/>
  <c r="M9" i="9"/>
  <c r="Q9" i="9" s="1"/>
  <c r="K9" i="9"/>
  <c r="O9" i="9" s="1"/>
  <c r="J8" i="9"/>
  <c r="N8" i="9" s="1"/>
  <c r="M8" i="9"/>
  <c r="Q8" i="9" s="1"/>
  <c r="L8" i="9"/>
  <c r="P8" i="9" s="1"/>
  <c r="K8" i="9"/>
  <c r="O8" i="9" s="1"/>
  <c r="J7" i="9"/>
  <c r="N7" i="9" s="1"/>
  <c r="K7" i="9"/>
  <c r="O7" i="9" s="1"/>
  <c r="L7" i="9"/>
  <c r="P7" i="9" s="1"/>
  <c r="M7" i="9"/>
  <c r="Q7" i="9" s="1"/>
  <c r="M6" i="9"/>
  <c r="L6" i="9"/>
  <c r="J6" i="9"/>
  <c r="K6" i="9"/>
  <c r="K12" i="8"/>
  <c r="O12" i="8" s="1"/>
  <c r="J12" i="8"/>
  <c r="N12" i="8" s="1"/>
  <c r="M12" i="8"/>
  <c r="Q12" i="8" s="1"/>
  <c r="L12" i="8"/>
  <c r="P12" i="8" s="1"/>
  <c r="J10" i="8"/>
  <c r="N10" i="8" s="1"/>
  <c r="M10" i="8"/>
  <c r="Q10" i="8" s="1"/>
  <c r="L10" i="8"/>
  <c r="P10" i="8" s="1"/>
  <c r="K10" i="8"/>
  <c r="O10" i="8" s="1"/>
  <c r="M9" i="8"/>
  <c r="L9" i="8"/>
  <c r="P9" i="8" s="1"/>
  <c r="K9" i="8"/>
  <c r="J9" i="8"/>
  <c r="M8" i="8"/>
  <c r="Q8" i="8" s="1"/>
  <c r="L8" i="8"/>
  <c r="P8" i="8" s="1"/>
  <c r="K8" i="8"/>
  <c r="O8" i="8" s="1"/>
  <c r="J8" i="8"/>
  <c r="N8" i="8" s="1"/>
  <c r="M7" i="8"/>
  <c r="Q7" i="8" s="1"/>
  <c r="K7" i="8"/>
  <c r="O7" i="8" s="1"/>
  <c r="J6" i="8"/>
  <c r="M6" i="8"/>
  <c r="K6" i="8"/>
  <c r="L6" i="8"/>
  <c r="C19" i="8"/>
  <c r="F19" i="8" s="1"/>
  <c r="L12" i="7"/>
  <c r="K12" i="7"/>
  <c r="J12" i="7"/>
  <c r="M12" i="7"/>
  <c r="Q12" i="7" s="1"/>
  <c r="L11" i="7"/>
  <c r="P11" i="7" s="1"/>
  <c r="M11" i="7"/>
  <c r="Q11" i="7" s="1"/>
  <c r="K11" i="7"/>
  <c r="O11" i="7" s="1"/>
  <c r="J11" i="7"/>
  <c r="N11" i="7" s="1"/>
  <c r="L10" i="7"/>
  <c r="P10" i="7" s="1"/>
  <c r="J10" i="7"/>
  <c r="N10" i="7" s="1"/>
  <c r="M10" i="7"/>
  <c r="Q10" i="7" s="1"/>
  <c r="K10" i="7"/>
  <c r="O10" i="7" s="1"/>
  <c r="K9" i="7"/>
  <c r="O9" i="7" s="1"/>
  <c r="J9" i="7"/>
  <c r="N9" i="7" s="1"/>
  <c r="L9" i="7"/>
  <c r="P9" i="7" s="1"/>
  <c r="M9" i="7"/>
  <c r="L8" i="7"/>
  <c r="P8" i="7" s="1"/>
  <c r="K8" i="7"/>
  <c r="O8" i="7" s="1"/>
  <c r="J8" i="7"/>
  <c r="N8" i="7" s="1"/>
  <c r="M8" i="7"/>
  <c r="Q8" i="7" s="1"/>
  <c r="K7" i="7"/>
  <c r="O7" i="7" s="1"/>
  <c r="L7" i="7"/>
  <c r="P7" i="7" s="1"/>
  <c r="J7" i="7"/>
  <c r="N7" i="7" s="1"/>
  <c r="M7" i="7"/>
  <c r="Q7" i="7" s="1"/>
  <c r="K6" i="7"/>
  <c r="J6" i="7"/>
  <c r="L6" i="7"/>
  <c r="M6" i="7"/>
  <c r="M10" i="10"/>
  <c r="Q10" i="10" s="1"/>
  <c r="J7" i="8"/>
  <c r="N7" i="8" s="1"/>
  <c r="M6" i="10"/>
  <c r="C20" i="9" l="1"/>
  <c r="F20" i="9" s="1"/>
  <c r="Q7" i="12"/>
  <c r="C20" i="12"/>
  <c r="F20" i="12" s="1"/>
  <c r="G20" i="12" s="1"/>
  <c r="Q9" i="8"/>
  <c r="C20" i="8"/>
  <c r="F20" i="8" s="1"/>
  <c r="Q13" i="12"/>
  <c r="B20" i="12" s="1"/>
  <c r="E8" i="2" s="1"/>
  <c r="P7" i="12"/>
  <c r="J19" i="12" s="1"/>
  <c r="C19" i="12"/>
  <c r="F19" i="12" s="1"/>
  <c r="P13" i="12"/>
  <c r="B19" i="12" s="1"/>
  <c r="D8" i="2" s="1"/>
  <c r="O9" i="8"/>
  <c r="C18" i="8"/>
  <c r="F18" i="8" s="1"/>
  <c r="Q9" i="7"/>
  <c r="C20" i="7"/>
  <c r="F20" i="7" s="1"/>
  <c r="O7" i="12"/>
  <c r="C18" i="12"/>
  <c r="F18" i="12" s="1"/>
  <c r="I18" i="12"/>
  <c r="N7" i="12"/>
  <c r="C17" i="12"/>
  <c r="F17" i="12" s="1"/>
  <c r="I17" i="12"/>
  <c r="Q6" i="11"/>
  <c r="C20" i="11"/>
  <c r="F20" i="11" s="1"/>
  <c r="I20" i="11"/>
  <c r="P6" i="11"/>
  <c r="C19" i="11"/>
  <c r="F19" i="11" s="1"/>
  <c r="I19" i="11"/>
  <c r="O6" i="11"/>
  <c r="C18" i="11"/>
  <c r="F18" i="11" s="1"/>
  <c r="I18" i="11"/>
  <c r="N6" i="11"/>
  <c r="C17" i="11"/>
  <c r="F17" i="11" s="1"/>
  <c r="I17" i="11"/>
  <c r="C17" i="10"/>
  <c r="F17" i="10" s="1"/>
  <c r="I17" i="10"/>
  <c r="N6" i="10"/>
  <c r="C19" i="10"/>
  <c r="F19" i="10" s="1"/>
  <c r="I19" i="10"/>
  <c r="P6" i="10"/>
  <c r="C18" i="10"/>
  <c r="F18" i="10" s="1"/>
  <c r="I18" i="10"/>
  <c r="O6" i="10"/>
  <c r="Q6" i="9"/>
  <c r="I20" i="9"/>
  <c r="P6" i="9"/>
  <c r="C19" i="9"/>
  <c r="F19" i="9" s="1"/>
  <c r="I19" i="9"/>
  <c r="N6" i="9"/>
  <c r="C17" i="9"/>
  <c r="F17" i="9" s="1"/>
  <c r="I17" i="9"/>
  <c r="O6" i="9"/>
  <c r="C18" i="9"/>
  <c r="F18" i="9" s="1"/>
  <c r="I18" i="9"/>
  <c r="N6" i="8"/>
  <c r="I17" i="8"/>
  <c r="I20" i="8"/>
  <c r="Q6" i="8"/>
  <c r="O6" i="8"/>
  <c r="I18" i="8"/>
  <c r="I19" i="8"/>
  <c r="P6" i="8"/>
  <c r="O6" i="7"/>
  <c r="I18" i="7"/>
  <c r="I17" i="7"/>
  <c r="N6" i="7"/>
  <c r="P6" i="7"/>
  <c r="I19" i="7"/>
  <c r="Q6" i="7"/>
  <c r="I20" i="7"/>
  <c r="Q6" i="10"/>
  <c r="C20" i="10"/>
  <c r="F20" i="10" s="1"/>
  <c r="I20" i="10"/>
  <c r="N9" i="8"/>
  <c r="C17" i="8"/>
  <c r="F17" i="8" s="1"/>
  <c r="P12" i="7"/>
  <c r="C19" i="7"/>
  <c r="F19" i="7" s="1"/>
  <c r="O12" i="7"/>
  <c r="C18" i="7"/>
  <c r="F18" i="7" s="1"/>
  <c r="N12" i="7"/>
  <c r="C17" i="7"/>
  <c r="F17" i="7" s="1"/>
  <c r="G19" i="12" l="1"/>
  <c r="J18" i="12"/>
  <c r="O13" i="12"/>
  <c r="B18" i="12" s="1"/>
  <c r="C8" i="2" s="1"/>
  <c r="G18" i="12"/>
  <c r="J17" i="12"/>
  <c r="N13" i="12"/>
  <c r="B17" i="12" s="1"/>
  <c r="F8" i="2"/>
  <c r="Q13" i="11"/>
  <c r="B20" i="11" s="1"/>
  <c r="J20" i="11"/>
  <c r="P13" i="11"/>
  <c r="B19" i="11" s="1"/>
  <c r="J19" i="11"/>
  <c r="J18" i="11"/>
  <c r="O13" i="11"/>
  <c r="B18" i="11" s="1"/>
  <c r="J17" i="11"/>
  <c r="N13" i="11"/>
  <c r="B17" i="11" s="1"/>
  <c r="F7" i="2"/>
  <c r="G17" i="10"/>
  <c r="H17" i="10"/>
  <c r="F6" i="2"/>
  <c r="N13" i="10"/>
  <c r="B17" i="10" s="1"/>
  <c r="J17" i="10"/>
  <c r="P13" i="10"/>
  <c r="B19" i="10" s="1"/>
  <c r="J19" i="10"/>
  <c r="G18" i="10"/>
  <c r="H18" i="10"/>
  <c r="O13" i="10"/>
  <c r="B18" i="10" s="1"/>
  <c r="J18" i="10"/>
  <c r="J20" i="9"/>
  <c r="Q13" i="9"/>
  <c r="B20" i="9" s="1"/>
  <c r="J19" i="9"/>
  <c r="P13" i="9"/>
  <c r="B19" i="9" s="1"/>
  <c r="J17" i="9"/>
  <c r="N13" i="9"/>
  <c r="B17" i="9" s="1"/>
  <c r="F5" i="2"/>
  <c r="J18" i="9"/>
  <c r="O13" i="9"/>
  <c r="B18" i="9" s="1"/>
  <c r="C5" i="2" s="1"/>
  <c r="G18" i="9"/>
  <c r="J17" i="8"/>
  <c r="N13" i="8"/>
  <c r="B17" i="8" s="1"/>
  <c r="B4" i="2" s="1"/>
  <c r="J20" i="8"/>
  <c r="Q13" i="8"/>
  <c r="B20" i="8" s="1"/>
  <c r="J18" i="8"/>
  <c r="O13" i="8"/>
  <c r="B18" i="8" s="1"/>
  <c r="J19" i="8"/>
  <c r="P13" i="8"/>
  <c r="B19" i="8" s="1"/>
  <c r="J18" i="7"/>
  <c r="O13" i="7"/>
  <c r="B18" i="7" s="1"/>
  <c r="J17" i="7"/>
  <c r="N13" i="7"/>
  <c r="B17" i="7" s="1"/>
  <c r="J19" i="7"/>
  <c r="P13" i="7"/>
  <c r="B19" i="7" s="1"/>
  <c r="G19" i="7" s="1"/>
  <c r="J20" i="7"/>
  <c r="Q13" i="7"/>
  <c r="B20" i="7" s="1"/>
  <c r="J20" i="10"/>
  <c r="Q13" i="10"/>
  <c r="B20" i="10" s="1"/>
  <c r="F4" i="2"/>
  <c r="G17" i="8"/>
  <c r="E7" i="2" l="1"/>
  <c r="G20" i="11"/>
  <c r="D7" i="2"/>
  <c r="G19" i="11"/>
  <c r="D6" i="2"/>
  <c r="G19" i="10"/>
  <c r="D5" i="2"/>
  <c r="G19" i="9"/>
  <c r="C25" i="10"/>
  <c r="C26" i="10"/>
  <c r="G20" i="9"/>
  <c r="H20" i="9" s="1"/>
  <c r="E5" i="2"/>
  <c r="G20" i="8"/>
  <c r="C22" i="8" s="1"/>
  <c r="L19" i="8" s="1"/>
  <c r="M19" i="8" s="1"/>
  <c r="E4" i="2"/>
  <c r="G18" i="8"/>
  <c r="C4" i="2"/>
  <c r="G19" i="8"/>
  <c r="D4" i="2"/>
  <c r="G20" i="7"/>
  <c r="H20" i="7" s="1"/>
  <c r="C25" i="8"/>
  <c r="C26" i="8"/>
  <c r="B8" i="2"/>
  <c r="G17" i="12"/>
  <c r="C7" i="2"/>
  <c r="G18" i="11"/>
  <c r="B7" i="2"/>
  <c r="G17" i="11"/>
  <c r="B6" i="2"/>
  <c r="C6" i="2"/>
  <c r="B5" i="2"/>
  <c r="G17" i="9"/>
  <c r="G18" i="7"/>
  <c r="G17" i="7"/>
  <c r="E6" i="2"/>
  <c r="G20" i="10"/>
  <c r="C22" i="10" s="1"/>
  <c r="H17" i="8" l="1"/>
  <c r="H18" i="8"/>
  <c r="C26" i="12"/>
  <c r="C25" i="12"/>
  <c r="C22" i="12"/>
  <c r="H20" i="12"/>
  <c r="H19" i="12"/>
  <c r="H18" i="12"/>
  <c r="H17" i="12"/>
  <c r="C26" i="11"/>
  <c r="C25" i="11"/>
  <c r="C22" i="11"/>
  <c r="H17" i="11"/>
  <c r="H20" i="11"/>
  <c r="H19" i="11"/>
  <c r="C26" i="9"/>
  <c r="C25" i="9"/>
  <c r="C22" i="9"/>
  <c r="H19" i="9"/>
  <c r="H18" i="9"/>
  <c r="H17" i="9"/>
  <c r="C26" i="7"/>
  <c r="C25" i="7"/>
  <c r="C22" i="7"/>
  <c r="H19" i="7"/>
  <c r="H17" i="7"/>
  <c r="H19" i="10"/>
  <c r="H20" i="10"/>
  <c r="H19" i="8"/>
  <c r="H18" i="11"/>
  <c r="H18" i="7"/>
  <c r="H20" i="8"/>
  <c r="L19" i="10"/>
  <c r="M19" i="10" s="1"/>
  <c r="L17" i="10"/>
  <c r="L18" i="10"/>
  <c r="M18" i="10" s="1"/>
  <c r="L20" i="10"/>
  <c r="M20" i="10" s="1"/>
  <c r="L17" i="8"/>
  <c r="L20" i="8"/>
  <c r="M20" i="8" s="1"/>
  <c r="L18" i="8"/>
  <c r="M18" i="8" s="1"/>
  <c r="L17" i="12" l="1"/>
  <c r="L18" i="12"/>
  <c r="M18" i="12" s="1"/>
  <c r="L19" i="12"/>
  <c r="M19" i="12" s="1"/>
  <c r="L20" i="12"/>
  <c r="M20" i="12" s="1"/>
  <c r="L17" i="11"/>
  <c r="L18" i="11"/>
  <c r="M18" i="11" s="1"/>
  <c r="L20" i="11"/>
  <c r="M20" i="11" s="1"/>
  <c r="L19" i="11"/>
  <c r="M19" i="11" s="1"/>
  <c r="L17" i="9"/>
  <c r="L20" i="9"/>
  <c r="M20" i="9" s="1"/>
  <c r="L18" i="9"/>
  <c r="M18" i="9" s="1"/>
  <c r="L19" i="9"/>
  <c r="M19" i="9" s="1"/>
  <c r="L17" i="7"/>
  <c r="L18" i="7"/>
  <c r="M18" i="7" s="1"/>
  <c r="L20" i="7"/>
  <c r="M20" i="7" s="1"/>
  <c r="L19" i="7"/>
  <c r="M19" i="7" s="1"/>
  <c r="M17" i="10"/>
  <c r="C23" i="10" s="1"/>
  <c r="C27" i="10"/>
  <c r="H6" i="2" s="1"/>
  <c r="M17" i="8"/>
  <c r="C23" i="8" s="1"/>
  <c r="C27" i="8"/>
  <c r="H4" i="2" s="1"/>
  <c r="M17" i="12" l="1"/>
  <c r="C23" i="12" s="1"/>
  <c r="C27" i="12"/>
  <c r="H8" i="2" s="1"/>
  <c r="M17" i="11"/>
  <c r="C23" i="11" s="1"/>
  <c r="C27" i="11"/>
  <c r="H7" i="2" s="1"/>
  <c r="M17" i="9"/>
  <c r="C23" i="9" s="1"/>
  <c r="C27" i="9"/>
  <c r="H5" i="2" s="1"/>
  <c r="M17" i="7"/>
  <c r="C23" i="7" s="1"/>
  <c r="C27" i="7"/>
  <c r="P20" i="10"/>
  <c r="N20" i="10"/>
  <c r="N19" i="10"/>
  <c r="P19" i="10" s="1"/>
  <c r="P18" i="10"/>
  <c r="N18" i="10"/>
  <c r="P17" i="10"/>
  <c r="N17" i="10"/>
  <c r="C24" i="10"/>
  <c r="G6" i="2"/>
  <c r="N17" i="8"/>
  <c r="N20" i="8"/>
  <c r="N18" i="8"/>
  <c r="P19" i="8"/>
  <c r="N19" i="8"/>
  <c r="R11" i="8"/>
  <c r="R13" i="8" s="1"/>
  <c r="O17" i="8" s="1"/>
  <c r="T11" i="8"/>
  <c r="T13" i="8" s="1"/>
  <c r="O19" i="8" s="1"/>
  <c r="U11" i="8"/>
  <c r="U13" i="8" s="1"/>
  <c r="O20" i="8" s="1"/>
  <c r="P20" i="8" s="1"/>
  <c r="S11" i="8"/>
  <c r="S13" i="8" s="1"/>
  <c r="O18" i="8" s="1"/>
  <c r="C24" i="8"/>
  <c r="G4" i="2"/>
  <c r="P17" i="8" l="1"/>
  <c r="P18" i="8"/>
  <c r="C31" i="8" s="1"/>
  <c r="I4" i="2" s="1"/>
  <c r="P17" i="12"/>
  <c r="N17" i="12"/>
  <c r="N18" i="12"/>
  <c r="N20" i="12"/>
  <c r="N19" i="12"/>
  <c r="U6" i="12"/>
  <c r="R6" i="12"/>
  <c r="S6" i="12"/>
  <c r="T6" i="12"/>
  <c r="R11" i="12"/>
  <c r="S11" i="12"/>
  <c r="U11" i="12"/>
  <c r="T11" i="12"/>
  <c r="C24" i="12"/>
  <c r="G8" i="2"/>
  <c r="R10" i="12"/>
  <c r="S10" i="12"/>
  <c r="T10" i="12"/>
  <c r="U10" i="12"/>
  <c r="N19" i="11"/>
  <c r="N20" i="11"/>
  <c r="N18" i="11"/>
  <c r="N17" i="11"/>
  <c r="P17" i="11"/>
  <c r="U11" i="11"/>
  <c r="U13" i="11" s="1"/>
  <c r="O20" i="11" s="1"/>
  <c r="R11" i="11"/>
  <c r="R13" i="11" s="1"/>
  <c r="O17" i="11" s="1"/>
  <c r="S11" i="11"/>
  <c r="S13" i="11" s="1"/>
  <c r="O18" i="11" s="1"/>
  <c r="T11" i="11"/>
  <c r="T13" i="11" s="1"/>
  <c r="O19" i="11" s="1"/>
  <c r="C24" i="11"/>
  <c r="G7" i="2"/>
  <c r="N18" i="9"/>
  <c r="N17" i="9"/>
  <c r="P19" i="9"/>
  <c r="N19" i="9"/>
  <c r="N20" i="9"/>
  <c r="U11" i="9"/>
  <c r="T11" i="9"/>
  <c r="S11" i="9"/>
  <c r="R11" i="9"/>
  <c r="T12" i="9"/>
  <c r="R12" i="9"/>
  <c r="S12" i="9"/>
  <c r="U12" i="9"/>
  <c r="C24" i="9"/>
  <c r="G5" i="2"/>
  <c r="P17" i="7"/>
  <c r="N17" i="7"/>
  <c r="N18" i="7"/>
  <c r="P18" i="7" s="1"/>
  <c r="N19" i="7"/>
  <c r="P19" i="7" s="1"/>
  <c r="N20" i="7"/>
  <c r="P20" i="7" s="1"/>
  <c r="C24" i="7"/>
  <c r="P19" i="11" l="1"/>
  <c r="P20" i="11"/>
  <c r="P18" i="11"/>
  <c r="C31" i="11" s="1"/>
  <c r="I7" i="2" s="1"/>
  <c r="T13" i="9"/>
  <c r="O19" i="9" s="1"/>
  <c r="R13" i="9"/>
  <c r="O17" i="9" s="1"/>
  <c r="P17" i="9" s="1"/>
  <c r="C31" i="9" s="1"/>
  <c r="I5" i="2" s="1"/>
  <c r="U13" i="9"/>
  <c r="O20" i="9" s="1"/>
  <c r="P20" i="9" s="1"/>
  <c r="S13" i="9"/>
  <c r="O18" i="9" s="1"/>
  <c r="P18" i="9" s="1"/>
  <c r="U13" i="12"/>
  <c r="O20" i="12" s="1"/>
  <c r="P20" i="12" s="1"/>
  <c r="R13" i="12"/>
  <c r="O17" i="12" s="1"/>
  <c r="S13" i="12"/>
  <c r="O18" i="12" s="1"/>
  <c r="P18" i="12" s="1"/>
  <c r="T13" i="12"/>
  <c r="O19" i="12" s="1"/>
  <c r="P19" i="12" s="1"/>
  <c r="C31" i="12" l="1"/>
  <c r="I8" i="2" s="1"/>
</calcChain>
</file>

<file path=xl/sharedStrings.xml><?xml version="1.0" encoding="utf-8"?>
<sst xmlns="http://schemas.openxmlformats.org/spreadsheetml/2006/main" count="795" uniqueCount="304">
  <si>
    <t>Matriz de decisión multicriterio: agilidad a escala</t>
  </si>
  <si>
    <t>PF-3872 Metodologías Ágiles · Trabajo final, Parte 1 · Alternativas: Nexus, LeSS, SAFe y Disciplined Agile (DA)</t>
  </si>
  <si>
    <t>Propósito</t>
  </si>
  <si>
    <t>Recomendar uno de cuatro enfoques de agilidad a escala para una organización nueva, con un cálculo reproducible: Puntaje(marco) = Σ peso(criterio) × compatibilidad(marco, criterio). El máximo posible es 5,00.</t>
  </si>
  <si>
    <t>Componentes</t>
  </si>
  <si>
    <t>1_Criterios_Pesos: criterios, pesos y justificación · 2_Escalas_Reglas: escala 0-5 y reglas que activan cada puntaje · 3_Reglas_Decision: exclusiones, empates, datos faltantes y parámetros · Aux_Sensibilidad: tabla auxiliar para el análisis de datos faltantes · Plantilla: hoja en blanco para evaluar un caso nuevo · Caso1…Caso4B: casos evaluados · Resumen: comparación de resultados.</t>
  </si>
  <si>
    <t>Cómo evaluar un caso nuevo</t>
  </si>
  <si>
    <t>1) Copiar la hoja «Plantilla» (clic derecho › Mover o copiar › Crear una copia). 2) Escribir el nombre y la descripción del caso. 3) Para cada criterio, anotar la evidencia textual del caso en «Evidencia», elegir el valor en la lista desplegable de «Valor capturado» (en C1 escribir el número de equipos) y el «Estado del dato» (Explícito, Inferido o Faltante). 4) Si el valor es inferido, escribir el supuesto. 5) Si existe una restricción organizacional que descarte un marco, marcar «Exclusión manual = Sí» y escribir el motivo. 6) Leer la recomendación, el empate técnico y la robustez en el bloque de resultados.</t>
  </si>
  <si>
    <t>Colores</t>
  </si>
  <si>
    <t>Amarillo: celdas de captura (las únicas que se editan). Gris: celdas calculadas con fórmulas (no editar). Verde: resultado final.</t>
  </si>
  <si>
    <t>Auditoría del agente de IA</t>
  </si>
  <si>
    <t>El agente devuelve una «ficha de captura» con el valor y el estado de cada criterio. Esos valores se copian en una hoja de caso y los puntajes calculados por la hoja deben coincidir con los del agente (tolerancia 0,01). Cualquier diferencia indica un error del agente.</t>
  </si>
  <si>
    <t>Regla de integridad</t>
  </si>
  <si>
    <t>Las fórmulas no contienen respuestas fijas para ningún caso: el resultado depende solo de los valores capturados y de las tablas de reglas. Al cambiar un valor capturado cambia el resultado (ver Prueba 4A).</t>
  </si>
  <si>
    <t>Resumen comparativo de los casos</t>
  </si>
  <si>
    <t>Caso</t>
  </si>
  <si>
    <t>Nexus</t>
  </si>
  <si>
    <t>LeSS</t>
  </si>
  <si>
    <t>SAFe</t>
  </si>
  <si>
    <t>DA</t>
  </si>
  <si>
    <t>Excluidos</t>
  </si>
  <si>
    <t>Recomendación</t>
  </si>
  <si>
    <t>Empate técnico</t>
  </si>
  <si>
    <t>Robustez</t>
  </si>
  <si>
    <t>Resultado esperado</t>
  </si>
  <si>
    <t>Caso 1. Banco regional</t>
  </si>
  <si>
    <t>Caso 2. Aseguradora multinacional</t>
  </si>
  <si>
    <t>Caso 3. Servicios profesionales</t>
  </si>
  <si>
    <t>Prueba 4A. Cambio de condición (variante del Caso 1)</t>
  </si>
  <si>
    <t>Prueba 4B. Datos faltantes decisivos</t>
  </si>
  <si>
    <t>1. Criterios y pesos</t>
  </si>
  <si>
    <t>Los pesos se asignaron repartiendo 100 puntos según el poder de cada criterio para diferenciar los cuatro marcos (criterios estructurales &gt; preferencias), y se validaron con el análisis de sensibilidad de las pruebas 4A y 4B.</t>
  </si>
  <si>
    <t>ID</t>
  </si>
  <si>
    <t>Criterio</t>
  </si>
  <si>
    <t>Qué evalúa</t>
  </si>
  <si>
    <t>Peso</t>
  </si>
  <si>
    <t>Excluyente</t>
  </si>
  <si>
    <t>Por qué se seleccionó</t>
  </si>
  <si>
    <t>Justificación del peso</t>
  </si>
  <si>
    <t>C1</t>
  </si>
  <si>
    <t>Escala (número de equipos)</t>
  </si>
  <si>
    <t>Cantidad de equipos que deben coordinarse en la iniciativa.</t>
  </si>
  <si>
    <t>Sí</t>
  </si>
  <si>
    <t>Cada marco fue diseñado para un rango de tamaño: Nexus 3-9 equipos, LeSS 2-8 (LeSS Huge para más), SAFe desde un Agile Release Train (5-12 equipos) hasta varios trenes, y DA es independiente del tamaño.</t>
  </si>
  <si>
    <t>Es un dato objetivo y casi siempre disponible, pero por sí solo no decide: dos organizaciones del mismo tamaño pueden necesitar marcos distintos. Por eso pesa igual que los demás criterios estructurales (15 %) y no más.</t>
  </si>
  <si>
    <t>C2</t>
  </si>
  <si>
    <t>Estructura de producto o solución</t>
  </si>
  <si>
    <t>Si los equipos construyen un único producto, varias soluciones conectadas o productos/proyectos independientes.</t>
  </si>
  <si>
    <t>Es la restricción de diseño más fuerte de Nexus y LeSS (un solo Product Backlog e incremento integrado) y el elemento que distingue a SAFe (cadenas de valor y soluciones) y a DA (contextos distintos).</t>
  </si>
  <si>
    <t>Es el criterio con mayor poder de discriminación entre los cuatro marcos: separa de inmediato a los marcos de un solo producto de los de múltiples soluciones. Recibe el mayor peso (20 %).</t>
  </si>
  <si>
    <t>C3</t>
  </si>
  <si>
    <t>Dependencias entre equipos y áreas</t>
  </si>
  <si>
    <t>Grado de dependencia técnica y organizacional entre equipos y con áreas transversales (arquitectura, datos, seguridad, operaciones, proveedores).</t>
  </si>
  <si>
    <t>No</t>
  </si>
  <si>
    <t>La gestión de dependencias es la razón principal para escalar. Nexus y LeSS las gestionan dentro de un producto; SAFe agrega planificación sincronizada (PI Planning) entre soluciones y áreas; DA las trata según el contexto.</t>
  </si>
  <si>
    <t>Determina cuánta coordinación formal se necesita. Es estructural, por eso 15 %.</t>
  </si>
  <si>
    <t>C4</t>
  </si>
  <si>
    <t>Gobernanza y cumplimiento</t>
  </si>
  <si>
    <t>Exigencias de regulación, auditoría, trazabilidad o control contractual.</t>
  </si>
  <si>
    <t>SAFe y DA incluyen guía explícita de gobernanza y cumplimiento; Nexus y LeSS la dejan a la organización.</t>
  </si>
  <si>
    <t>Pesa 10 % porque los cuatro marcos pueden convivir con controles adicionales y porque parte de la gobernanza ya está reflejada en el alineamiento estratégico (C5); evita contar dos veces el mismo efecto.</t>
  </si>
  <si>
    <t>C5</t>
  </si>
  <si>
    <t>Alineamiento estratégico y portafolio</t>
  </si>
  <si>
    <t>Necesidad de vincular iniciativas con estrategia, inversiones, presupuesto y visibilidad de portafolio.</t>
  </si>
  <si>
    <t>Solo SAFe trae un nivel de portafolio completo (Lean Portfolio Management); DA tiene guía de portafolio; Nexus y LeSS no cubren este nivel.</t>
  </si>
  <si>
    <t>Es la necesidad que más diferencia una adopción empresarial de una de producto. 15 %.</t>
  </si>
  <si>
    <t>C6</t>
  </si>
  <si>
    <t>Autonomía y adaptación del proceso</t>
  </si>
  <si>
    <t>Si la organización acepta un proceso común o requiere que cada equipo elija/adapte su forma de trabajo.</t>
  </si>
  <si>
    <t>Nexus y LeSS exigen Scrum en todos los equipos; SAFe estandariza cadencias y roles; DA se basa en que cada equipo elija su forma de trabajo (Way of Working).</t>
  </si>
  <si>
    <t>Pesa 10 % porque es una preferencia cultural más que una condición estructural y está parcialmente correlacionada con la heterogeneidad (C7).</t>
  </si>
  <si>
    <t>C7</t>
  </si>
  <si>
    <t>Heterogeneidad del trabajo y ciclos de vida</t>
  </si>
  <si>
    <t>Si conviven tipos de trabajo distintos: desarrollo iterativo, mantenimiento/flujo continuo, híbrido o predictivo.</t>
  </si>
  <si>
    <t>Nexus y LeSS suponen trabajo homogéneo con Scrum; SAFe admite equipos Scrum y Kanban dentro de un tren; DA ofrece varios ciclos de vida (ágil, lean, continuo, exploratorio, por programa).</t>
  </si>
  <si>
    <t>Es estructural: si el trabajo no es homogéneo, un marco basado solo en Scrum deja de ser aplicable. 15 %.</t>
  </si>
  <si>
    <t>Total (debe ser 100 %)</t>
  </si>
  <si>
    <t>2. Escala de compatibilidad y reglas de puntuación</t>
  </si>
  <si>
    <t>Escala de compatibilidad (0 a 5)</t>
  </si>
  <si>
    <t>Puntaje</t>
  </si>
  <si>
    <t>Significado</t>
  </si>
  <si>
    <t>Regla de asignación</t>
  </si>
  <si>
    <t>Incompatible</t>
  </si>
  <si>
    <t>El marco contradice una condición del caso. En criterios excluyentes descarta el marco.</t>
  </si>
  <si>
    <t>Muy baja</t>
  </si>
  <si>
    <t>El marco requiere cambios organizacionales profundos o extensiones fuera de su diseño para cubrir la condición.</t>
  </si>
  <si>
    <t>Baja</t>
  </si>
  <si>
    <t>El marco cubre la condición de forma parcial; se necesitan prácticas complementarias importantes.</t>
  </si>
  <si>
    <t>Media</t>
  </si>
  <si>
    <t>El marco puede adaptarse a la condición con ajustes moderados.</t>
  </si>
  <si>
    <t>Alta</t>
  </si>
  <si>
    <t>El marco cubre la condición con sus propias prácticas con ajustes menores.</t>
  </si>
  <si>
    <t>Muy alta</t>
  </si>
  <si>
    <t>La condición coincide con el escenario para el que el marco fue diseñado.</t>
  </si>
  <si>
    <t>Dato faltante: se asigna 2,5 a los cuatro marcos (valor neutro: no favorece a ninguno) y se activa el análisis de sensibilidad.</t>
  </si>
  <si>
    <t>Reglas: qué información del caso activa cada nivel y qué puntaje recibe cada marco</t>
  </si>
  <si>
    <t>Clave</t>
  </si>
  <si>
    <t>Nivel</t>
  </si>
  <si>
    <t>Información del caso que activa el nivel (disparador)</t>
  </si>
  <si>
    <t>Fundamento del puntaje</t>
  </si>
  <si>
    <t>1 a 3 equipos</t>
  </si>
  <si>
    <t>El caso indica 1 a 3 equipos (o hasta ~27 personas).</t>
  </si>
  <si>
    <t>Por debajo del mínimo de Nexus (3) y de un ART de SAFe; LeSS funciona desde 2 equipos; DA aplica a cualquier tamaño.</t>
  </si>
  <si>
    <t>4 a 9 equipos</t>
  </si>
  <si>
    <t>El caso indica entre 4 y 9 equipos.</t>
  </si>
  <si>
    <t>Rango de diseño de Nexus (3-9) y LeSS (2-8). Un solo ART de SAFe sería un tren pequeño.</t>
  </si>
  <si>
    <t>10 a 15 equipos</t>
  </si>
  <si>
    <t>El caso indica entre 10 y 15 equipos.</t>
  </si>
  <si>
    <t>Nexus necesita Nexus+ (varios Nexus); LeSS Huge empieza a aplicar; SAFe cabe en 1-2 ART.</t>
  </si>
  <si>
    <t>16 a 50 equipos</t>
  </si>
  <si>
    <t>El caso indica entre 16 y 50 equipos (≈150-500 personas).</t>
  </si>
  <si>
    <t>Rango típico de SAFe Large Solution / varios ART. LeSS Huge es posible pero exige reorganizar áreas de requerimientos. Nexus queda fuera de su diseño.</t>
  </si>
  <si>
    <t>Más de 50 equipos</t>
  </si>
  <si>
    <t>El caso indica más de 50 equipos.</t>
  </si>
  <si>
    <t>Nexus no está diseñado para esta escala (incompatible). SAFe Portfolio/Large Solution es el escenario previsto.</t>
  </si>
  <si>
    <t>Un solo producto</t>
  </si>
  <si>
    <t>Todos los equipos trabajan sobre un mismo producto, con un Product Backlog y un incremento integrado.</t>
  </si>
  <si>
    <t>Es el supuesto base de Nexus y LeSS. SAFe y DA pueden aplicarse pero agregan estructura innecesaria.</t>
  </si>
  <si>
    <t>Varias soluciones interdependientes</t>
  </si>
  <si>
    <t>Varios productos o soluciones conectados que deben integrarse o entregar valor en conjunto (cadena de valor).</t>
  </si>
  <si>
    <t>SAFe organiza trenes por cadena de valor y soluciones grandes. Nexus no contempla varios backlogs; LeSS obliga a redefinir todo como un solo producto amplio.</t>
  </si>
  <si>
    <t>Productos o proyectos independientes</t>
  </si>
  <si>
    <t>Productos o proyectos sin incremento común (por ejemplo, clientes distintos).</t>
  </si>
  <si>
    <t>Nexus y LeSS requieren un único producto: incompatibles. SAFe no aporta su valor principal (coordinar un tren). DA está diseñado para contextos distintos.</t>
  </si>
  <si>
    <t>Bajas</t>
  </si>
  <si>
    <t>Los equipos son mayormente independientes; no se mencionan dependencias relevantes ni áreas transversales compartidas.</t>
  </si>
  <si>
    <t>El equipo de integración de Nexus y el PI Planning de SAFe serían sobrecarga. LeSS (equipos de característica) y DA se ajustan bien.</t>
  </si>
  <si>
    <t>Medias</t>
  </si>
  <si>
    <t>Dependencias entre equipos del mismo producto (código, integración, componentes compartidos) que se resuelven en refinamiento e integración.</t>
  </si>
  <si>
    <t>Es exactamente el problema que resuelve Nexus (Nexus Integration Team).</t>
  </si>
  <si>
    <t>Altas</t>
  </si>
  <si>
    <t>Dependencias entre soluciones y con áreas transversales (arquitectura, datos, seguridad, operaciones, proveedores) que exigen planificación sincronizada.</t>
  </si>
  <si>
    <t>SAFe incorpora PI Planning, Solution Train y roles de arquitectura. LeSS propone eliminar dependencias reorganizando, lo cual es costoso en este contexto.</t>
  </si>
  <si>
    <t>Ligera</t>
  </si>
  <si>
    <t>Sin regulación sectorial relevante ni exigencias formales de auditoría.</t>
  </si>
  <si>
    <t>Los marcos livianos aprovechan la ausencia de controles; SAFe agrega estructura no requerida.</t>
  </si>
  <si>
    <t>Variable por contrato o cliente</t>
  </si>
  <si>
    <t>Las exigencias de control cambian por cliente, contrato o proyecto.</t>
  </si>
  <si>
    <t>DA adapta la gobernanza al contexto de cada equipo/proyecto; los demás imponen un esquema único.</t>
  </si>
  <si>
    <t>Regulatoria formal</t>
  </si>
  <si>
    <t>Sector regulado (banca, seguros, salud, gobierno) con cumplimiento, auditoría y trazabilidad formales.</t>
  </si>
  <si>
    <t>SAFe incluye cumplimiento y gobernanza Lean en sus niveles; DA tiene guía explícita de gobernanza; Nexus y LeSS no la cubren.</t>
  </si>
  <si>
    <t>Bajo</t>
  </si>
  <si>
    <t>Las decisiones se toman a nivel de proyecto/cliente; no se requiere gestión común de portafolio ni de inversiones.</t>
  </si>
  <si>
    <t>El nivel de portafolio de SAFe sería sobrecarga.</t>
  </si>
  <si>
    <t>Medio</t>
  </si>
  <si>
    <t>Hay una hoja de ruta compartida y coordinación de prioridades entre áreas, sin gestión formal de inversiones.</t>
  </si>
  <si>
    <t>Los cuatro marcos pueden cubrirlo con ajustes.</t>
  </si>
  <si>
    <t>Alto</t>
  </si>
  <si>
    <t>Se exige vincular iniciativas con estrategia, inversiones o presupuesto y dar visibilidad de portafolio.</t>
  </si>
  <si>
    <t>SAFe incluye Lean Portfolio Management y temas estratégicos. DA tiene guía de portafolio menos prescriptiva. Nexus y LeSS no tienen este nivel.</t>
  </si>
  <si>
    <t>La organización acepta o prefiere un proceso, roles y cadencia comunes.</t>
  </si>
  <si>
    <t>SAFe estandariza; Nexus y LeSS imponen Scrum; DA rinde menos cuando no se aprovecha la elección.</t>
  </si>
  <si>
    <t>Proceso común con espacio para que los equipos ajusten prácticas.</t>
  </si>
  <si>
    <t>Los cuatro marcos lo admiten.</t>
  </si>
  <si>
    <t>Los equipos deben elegir o adaptar sus prácticas; no se quiere imponer un único proceso.</t>
  </si>
  <si>
    <t>DA se basa en la elección de la forma de trabajo. Nexus y SAFe imponen proceso; LeSS da autonomía dentro de Scrum.</t>
  </si>
  <si>
    <t>Todo el trabajo es desarrollo iterativo de producto con una sola forma de trabajo.</t>
  </si>
  <si>
    <t>Supuesto base de Nexus y LeSS.</t>
  </si>
  <si>
    <t>Predomina el desarrollo iterativo pero hay trabajo operativo, de mantenimiento o de flujo.</t>
  </si>
  <si>
    <t>SAFe admite equipos Kanban en el tren; DA tiene ciclo de vida continuo/lean.</t>
  </si>
  <si>
    <t>Conviven ciclos de vida distintos: iterativo, mantenimiento/flujo continuo e híbrido o predictivo.</t>
  </si>
  <si>
    <t>Nexus exige Scrum en todos los equipos: incompatible. DA ofrece varios ciclos de vida.</t>
  </si>
  <si>
    <t>3. Reglas de decisión: exclusiones, empates y datos faltantes</t>
  </si>
  <si>
    <t>Parámetro</t>
  </si>
  <si>
    <t>Valor</t>
  </si>
  <si>
    <t>Uso</t>
  </si>
  <si>
    <t>Umbral de empate técnico</t>
  </si>
  <si>
    <t>Si la diferencia entre el primer marco elegible y otro marco elegible es menor o igual a este valor, se considera empate técnico (2 % de la escala de 5 puntos).</t>
  </si>
  <si>
    <t>Puntaje neutro por dato faltante</t>
  </si>
  <si>
    <t>Se asigna a los cuatro marcos cuando un criterio no tiene información; no altera el orden, pero activa el análisis de sensibilidad.</t>
  </si>
  <si>
    <t>Regla</t>
  </si>
  <si>
    <t>Tipo</t>
  </si>
  <si>
    <t>Descripción verificable</t>
  </si>
  <si>
    <t>R1. Captura</t>
  </si>
  <si>
    <t>Datos</t>
  </si>
  <si>
    <t>Cada criterio se captura con un valor de la lista y un estado: Explícito (el caso lo dice), Inferido (se deduce; se escribe el supuesto) o Faltante (no hay base).</t>
  </si>
  <si>
    <t>R2. Cálculo</t>
  </si>
  <si>
    <t>Cálculo</t>
  </si>
  <si>
    <t>Puntaje(marco) = Σ peso × compatibilidad. Compatibilidad = valor de la tabla de reglas para el nivel capturado; si el dato es Faltante, PUNTAJE_NEUTRO.</t>
  </si>
  <si>
    <t>R3. Exclusión automática</t>
  </si>
  <si>
    <t>Restricción crítica</t>
  </si>
  <si>
    <t>Un marco queda Excluido si obtiene 0 en un criterio marcado como excluyente (C1, C2, C7) con dato Explícito o Inferido. Un marco excluido no puede recomendarse aunque su total sea alto.</t>
  </si>
  <si>
    <t>R4. Exclusión manual</t>
  </si>
  <si>
    <t>Si el caso declara una restricción que impide un marco (p. ej., «no se adoptará Scrum», «no se puede certificar personal»), se marca Exclusión manual = Sí y se documenta el motivo.</t>
  </si>
  <si>
    <t>R5. Recomendación</t>
  </si>
  <si>
    <t>Decisión</t>
  </si>
  <si>
    <t>Se recomienda el marco elegible con mayor puntaje total.</t>
  </si>
  <si>
    <t>R6. Empate técnico</t>
  </si>
  <si>
    <t>Desempate</t>
  </si>
  <si>
    <t>Si dos o más marcos elegibles están a UMBRAL_EMPATE o menos del máximo, se desempata en este orden: (a) menor número de criterios con compatibilidad ≤ 1 (menos riesgos críticos); (b) mayor puntaje ponderado en criterios excluyentes/estructurales; (c) parsimonia: el marco más liviano de adoptar (Nexus &gt; LeSS &gt; DA &gt; SAFe).</t>
  </si>
  <si>
    <t>R7. Datos faltantes y robustez</t>
  </si>
  <si>
    <t>Sensibilidad</t>
  </si>
  <si>
    <t>Para cada competidor se calcula la brecha en el peor caso: brecha actual + Σ (peso × menor diferencia posible entre el recomendado y el competidor en cada criterio faltante). Si alguna brecha en el peor caso es ≤ 0, la recomendación es Sensible: el agente debe pedir aclaración de esos criterios antes de concluir. Si todas son &gt; 0, es Robusta y se informan los supuestos.</t>
  </si>
  <si>
    <t>R8. Inferencias</t>
  </si>
  <si>
    <t>Solo se infiere un valor si hay evidencia indirecta en el caso (p. ej., sector regulado, 250 personas ≈ 25 equipos, a razón de unas 10 personas por equipo). Toda inferencia se reporta como supuesto.</t>
  </si>
  <si>
    <t>R9. Sin marco compatible</t>
  </si>
  <si>
    <t>Si los cuatro marcos quedan excluidos, la matriz informa «Ninguno compatible» y se recomienda revisar el caso.</t>
  </si>
  <si>
    <t>Tabla auxiliar: menor diferencia posible (recomendado − competidor) en cada criterio, considerando todos sus niveles</t>
  </si>
  <si>
    <t>Se usa para calcular la brecha en el peor caso cuando un criterio es Faltante (regla R7). Se calcula con fórmulas a partir de la hoja 2_Escalas_Reglas.</t>
  </si>
  <si>
    <t>Recomendado</t>
  </si>
  <si>
    <t>Clave par</t>
  </si>
  <si>
    <t>Disciplined Agile</t>
  </si>
  <si>
    <t>Caso nuevo: (escriba el nombre)</t>
  </si>
  <si>
    <t>Descripción del caso:</t>
  </si>
  <si>
    <t>(Pegue aquí la descripción del caso)</t>
  </si>
  <si>
    <t>A. Evaluación del caso (captura de datos y compatibilidad)</t>
  </si>
  <si>
    <t>Evidencia del caso</t>
  </si>
  <si>
    <t>Valor capturado</t>
  </si>
  <si>
    <t>Estado del dato</t>
  </si>
  <si>
    <t>Supuesto / justificación</t>
  </si>
  <si>
    <t>Nivel aplicado</t>
  </si>
  <si>
    <t>Pond. Nexus</t>
  </si>
  <si>
    <t>Pond. LeSS</t>
  </si>
  <si>
    <t>Pond. SAFe</t>
  </si>
  <si>
    <t>Pond. DA</t>
  </si>
  <si>
    <t>Ajuste peor caso Nexus</t>
  </si>
  <si>
    <t>Ajuste peor caso LeSS</t>
  </si>
  <si>
    <t>Ajuste peor caso SAFe</t>
  </si>
  <si>
    <t>Ajuste peor caso DA</t>
  </si>
  <si>
    <t>Total ponderado</t>
  </si>
  <si>
    <t>B. Resultados</t>
  </si>
  <si>
    <t>Marco</t>
  </si>
  <si>
    <t>Total</t>
  </si>
  <si>
    <t>Exclusión automática</t>
  </si>
  <si>
    <t>Exclusión manual</t>
  </si>
  <si>
    <t>Motivo exclusión manual</t>
  </si>
  <si>
    <t>Estado</t>
  </si>
  <si>
    <t>Total elegible</t>
  </si>
  <si>
    <t>Ranking</t>
  </si>
  <si>
    <t>Criterios con compat. ≤ 1</t>
  </si>
  <si>
    <t>Puntaje estructural</t>
  </si>
  <si>
    <t>Parsimonia</t>
  </si>
  <si>
    <t>En rango de empate</t>
  </si>
  <si>
    <t>Clave de desempate</t>
  </si>
  <si>
    <t>Brecha vs recomendado</t>
  </si>
  <si>
    <t>Ajuste peor caso</t>
  </si>
  <si>
    <t>Brecha en peor caso</t>
  </si>
  <si>
    <t>Máximo puntaje elegible</t>
  </si>
  <si>
    <t>RECOMENDACIÓN</t>
  </si>
  <si>
    <t>Puntaje del recomendado</t>
  </si>
  <si>
    <t>Segundo lugar (elegible)</t>
  </si>
  <si>
    <t>Brecha 1.º − 2.º</t>
  </si>
  <si>
    <t>Peso con datos explícitos</t>
  </si>
  <si>
    <t>Peso con datos inferidos</t>
  </si>
  <si>
    <t>Peso con datos faltantes</t>
  </si>
  <si>
    <t>Robustez (regla R7)</t>
  </si>
  <si>
    <t>Resultado esperado (referencia del enunciado / diseño de la prueba)</t>
  </si>
  <si>
    <t>Banco en seis países; 22 equipos distribuidos; varios productos digitales conectados; dependencias con arquitectura, datos, seguridad y operaciones; regulación y necesidad de vincular iniciativas con estrategia e inversiones.</t>
  </si>
  <si>
    <t>«22 equipos distribuidos».</t>
  </si>
  <si>
    <t>Explícito</t>
  </si>
  <si>
    <t>«varios productos digitales conectados».</t>
  </si>
  <si>
    <t>«dependencias con arquitectura, datos, seguridad y operaciones».</t>
  </si>
  <si>
    <t>«regulación»; banca en seis países.</t>
  </si>
  <si>
    <t>«necesidad de vincular iniciativas con estrategia e inversiones».</t>
  </si>
  <si>
    <t>El caso no indica si se acepta un proceso común o se requiere autonomía.</t>
  </si>
  <si>
    <t>Faltante</t>
  </si>
  <si>
    <t>Se aplica puntaje neutro 2,5 y se verifica la sensibilidad.</t>
  </si>
  <si>
    <t>Productos digitales en operación con dependencias de operaciones.</t>
  </si>
  <si>
    <t>Inferido</t>
  </si>
  <si>
    <t>Supuesto: conviven desarrollo iterativo y trabajo operativo/mantenimiento.</t>
  </si>
  <si>
    <t>Modernización de pólizas, reclamaciones y riesgos; 25 equipos y aproximadamente 300 profesionales; varias soluciones interdependientes; coordinación de proveedores, negocio y tecnología; planificación transversal y visibilidad de portafolio.</t>
  </si>
  <si>
    <t>«25 equipos y aproximadamente 300 profesionales» (≈12 por equipo).</t>
  </si>
  <si>
    <t>«varias soluciones interdependientes» (pólizas, reclamaciones, riesgos).</t>
  </si>
  <si>
    <t>«coordinación de proveedores, negocio y tecnología».</t>
  </si>
  <si>
    <t>El caso no menciona regulación.</t>
  </si>
  <si>
    <t>Supuesto: el sector asegurador está sujeto a supervisión (solvencia, protección al consumidor).</t>
  </si>
  <si>
    <t>«planificación transversal y visibilidad de portafolio».</t>
  </si>
  <si>
    <t>El caso no indica preferencia de autonomía o estandarización.</t>
  </si>
  <si>
    <t>Puntaje neutro 2,5; se verifica la sensibilidad.</t>
  </si>
  <si>
    <t>No se indica si coexisten mantenimiento, operación y desarrollo.</t>
  </si>
  <si>
    <t>Seis equipos para proyectos de clientes distintos; algunos iterativos, otros de mantenimiento y otros híbridos; exigencias contractuales variadas; autonomía y necesidad de adaptar prácticas sin imponer un único proceso.</t>
  </si>
  <si>
    <t>«Seis equipos».</t>
  </si>
  <si>
    <t>«proyectos de clientes distintos».</t>
  </si>
  <si>
    <t>No se describen dependencias entre equipos.</t>
  </si>
  <si>
    <t>Supuesto: proyectos de clientes distintos no comparten incremento ni componentes.</t>
  </si>
  <si>
    <t>«exigencias contractuales variadas».</t>
  </si>
  <si>
    <t>No se menciona portafolio ni inversión común.</t>
  </si>
  <si>
    <t>Supuesto: cada proyecto responde a su propio cliente.</t>
  </si>
  <si>
    <t>«autonomía y necesidad de adaptar prácticas sin imponer un único proceso».</t>
  </si>
  <si>
    <t>«algunos iterativos, otros de mantenimiento y otros híbridos».</t>
  </si>
  <si>
    <t>El mismo banco regional limita la iniciativa a su aplicación de banca móvil. Participan 7 equipos Scrum sobre un único producto con un solo Product Backlog y un Product Owner. Las dependencias se dan entre los equipos que integran el mismo incremento. La regulación bancaria se mantiene. El presupuesto ya está aprobado y no se requiere gestión de portafolio adicional. Todo el trabajo es desarrollo iterativo de nuevas funcionalidades.</t>
  </si>
  <si>
    <t>«7 equipos Scrum».</t>
  </si>
  <si>
    <t>«un único producto con un solo Product Backlog».</t>
  </si>
  <si>
    <t>«dependencias entre los equipos que integran el mismo incremento».</t>
  </si>
  <si>
    <t>«la regulación bancaria se mantiene».</t>
  </si>
  <si>
    <t>«no se requiere gestión de portafolio adicional».</t>
  </si>
  <si>
    <t>No se indica preferencia de autonomía.</t>
  </si>
  <si>
    <t>«todo el trabajo es desarrollo iterativo».</t>
  </si>
  <si>
    <t>Nexus (esperado por las reglas, no SAFe)</t>
  </si>
  <si>
    <t>Una aseguradora quiere modernizar su plataforma de reclamaciones con varios equipos internos y un proveedor externo de desarrollo. Todavía no se ha definido cuántos equipos participarán ni si la iniciativa se gestionará dentro del portafolio corporativo. Los equipos internos trabajan con Scrum.</t>
  </si>
  <si>
    <t>«no se ha definido cuántos equipos participarán».</t>
  </si>
  <si>
    <t>Puntaje neutro 2,5; dato decisivo.</t>
  </si>
  <si>
    <t>«plataforma de reclamaciones».</t>
  </si>
  <si>
    <t>Supuesto: una sola plataforma = un producto.</t>
  </si>
  <si>
    <t>Equipos internos + proveedor externo sobre la misma plataforma.</t>
  </si>
  <si>
    <t>Supuesto: dependencias de integración dentro del producto.</t>
  </si>
  <si>
    <t>Sector asegurador.</t>
  </si>
  <si>
    <t>Supuesto: sector regulado.</t>
  </si>
  <si>
    <t>«no se ha definido si se gestionará dentro del portafolio».</t>
  </si>
  <si>
    <t>Puntaje neutro 2,5.</t>
  </si>
  <si>
    <t>«los equipos internos trabajan con Scrum».</t>
  </si>
  <si>
    <t>Supuesto: trabajo homogéneo de desarrollo.</t>
  </si>
  <si>
    <t>Solicitar aclaración (no 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</si>
</sst>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6" x14ac:knownFonts="1">
    <font>
      <sz val="11"/>
      <color theme="1"/>
      <name val="Calibri"/>
      <family val="2"/>
      <scheme val="minor"/>
    </font>
    <font>
      <b/>
      <sz val="14"/>
      <color rgb="FF1F3864"/>
      <name val="Calibri"/>
    </font>
    <font>
      <b/>
      <sz val="11"/>
      <name val="Calibri"/>
    </font>
    <font>
      <b/>
      <sz val="11"/>
      <color rgb="FFFFFFFF"/>
      <name val="Calibri"/>
    </font>
    <font>
      <b/>
      <sz val="11"/>
      <color rgb="FF1F3864"/>
      <name val="Calibri"/>
    </font>
    <font>
      <i/>
      <sz val="11"/>
      <name val="Calibri"/>
    </font>
  </fonts>
  <fills count="6">
    <fill>
      <patternFill patternType="none"/>
    </fill>
    <fill>
      <patternFill patternType="gray125"/>
    </fill>
    <fill>
      <patternFill patternType="solid">
        <fgColor rgb="FF2F5496"/>
      </patternFill>
    </fill>
    <fill>
      <patternFill patternType="solid">
        <fgColor rgb="FFFFF2CC"/>
      </patternFill>
    </fill>
    <fill>
      <patternFill patternType="solid">
        <fgColor rgb="FFEDEDED"/>
      </patternFill>
    </fill>
    <fill>
      <patternFill patternType="solid">
        <fgColor rgb="FFE2EFDA"/>
      </patternFill>
    </fill>
  </fills>
  <borders count="4">
    <border>
      <left/>
      <right/>
      <top/>
      <bottom/>
      <diagonal/>
    </border>
    <border>
      <left style="thin">
        <color rgb="FFA6A6A6"/>
      </left>
      <right style="thin">
        <color rgb="FFA6A6A6"/>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0">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1" xfId="0" applyFont="1" applyFill="1" applyBorder="1" applyAlignment="1">
      <alignment horizontal="center" vertical="center" wrapText="1"/>
    </xf>
    <xf numFmtId="0" fontId="2" fillId="0" borderId="1" xfId="0" applyFont="1" applyBorder="1" applyAlignment="1">
      <alignment vertical="top" wrapText="1"/>
    </xf>
    <xf numFmtId="2" fontId="0" fillId="4" borderId="1" xfId="0" applyNumberFormat="1" applyFill="1" applyBorder="1" applyAlignment="1">
      <alignment horizontal="center" vertical="center" wrapText="1"/>
    </xf>
    <xf numFmtId="0" fontId="0" fillId="4" borderId="1" xfId="0" applyFill="1" applyBorder="1" applyAlignment="1">
      <alignment horizontal="center" vertical="center" wrapText="1"/>
    </xf>
    <xf numFmtId="0" fontId="2" fillId="5" borderId="1" xfId="0" applyFont="1" applyFill="1" applyBorder="1" applyAlignment="1">
      <alignment horizontal="center" vertical="center" wrapText="1"/>
    </xf>
    <xf numFmtId="0" fontId="0" fillId="4" borderId="1" xfId="0" applyFill="1" applyBorder="1" applyAlignment="1">
      <alignment vertical="top" wrapText="1"/>
    </xf>
    <xf numFmtId="0" fontId="0" fillId="0" borderId="1" xfId="0" applyBorder="1" applyAlignment="1">
      <alignment horizontal="center" vertical="center" wrapText="1"/>
    </xf>
    <xf numFmtId="0" fontId="0" fillId="0" borderId="1" xfId="0" applyBorder="1" applyAlignment="1">
      <alignment vertical="top" wrapText="1"/>
    </xf>
    <xf numFmtId="9" fontId="0" fillId="3" borderId="1" xfId="0" applyNumberFormat="1" applyFill="1" applyBorder="1" applyAlignment="1">
      <alignment horizontal="center" vertical="center" wrapText="1"/>
    </xf>
    <xf numFmtId="0" fontId="0" fillId="3" borderId="1" xfId="0" applyFill="1" applyBorder="1" applyAlignment="1">
      <alignment horizontal="center" vertical="center" wrapText="1"/>
    </xf>
    <xf numFmtId="9" fontId="2"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4" fillId="0" borderId="0" xfId="0" applyFont="1"/>
    <xf numFmtId="0" fontId="5" fillId="0" borderId="0" xfId="0" applyFont="1"/>
    <xf numFmtId="2" fontId="0" fillId="3" borderId="1" xfId="0" applyNumberFormat="1" applyFill="1" applyBorder="1" applyAlignment="1">
      <alignment horizontal="center" vertical="center" wrapText="1"/>
    </xf>
    <xf numFmtId="0" fontId="0" fillId="3" borderId="1" xfId="0" applyFill="1" applyBorder="1" applyAlignment="1">
      <alignment vertical="top" wrapText="1"/>
    </xf>
    <xf numFmtId="0" fontId="2" fillId="0" borderId="1" xfId="0" applyFont="1" applyBorder="1" applyAlignment="1">
      <alignment horizontal="center" vertical="center" wrapText="1"/>
    </xf>
    <xf numFmtId="9" fontId="0" fillId="4" borderId="1" xfId="0" applyNumberFormat="1" applyFill="1" applyBorder="1" applyAlignment="1">
      <alignment horizontal="center" vertical="center" wrapText="1"/>
    </xf>
    <xf numFmtId="164" fontId="0" fillId="4" borderId="1" xfId="0" applyNumberFormat="1" applyFill="1" applyBorder="1" applyAlignment="1">
      <alignment horizontal="center" vertical="center" wrapText="1"/>
    </xf>
    <xf numFmtId="165" fontId="0" fillId="4" borderId="1" xfId="0" applyNumberFormat="1" applyFill="1" applyBorder="1" applyAlignment="1">
      <alignment horizontal="center" vertical="center" wrapText="1"/>
    </xf>
    <xf numFmtId="2" fontId="2" fillId="5" borderId="1" xfId="0" applyNumberFormat="1" applyFont="1" applyFill="1" applyBorder="1" applyAlignment="1">
      <alignment horizontal="center" vertical="center" wrapText="1"/>
    </xf>
    <xf numFmtId="165" fontId="2" fillId="4" borderId="1" xfId="0" applyNumberFormat="1" applyFont="1" applyFill="1" applyBorder="1" applyAlignment="1">
      <alignment horizontal="center" vertical="center" wrapText="1"/>
    </xf>
    <xf numFmtId="2" fontId="0" fillId="5" borderId="1" xfId="0" applyNumberFormat="1" applyFill="1" applyBorder="1" applyAlignment="1">
      <alignment horizontal="center" vertical="center" wrapText="1"/>
    </xf>
    <xf numFmtId="1" fontId="0" fillId="4" borderId="1" xfId="0" applyNumberFormat="1" applyFill="1" applyBorder="1" applyAlignment="1">
      <alignment horizontal="center" vertical="center" wrapText="1"/>
    </xf>
    <xf numFmtId="0" fontId="0" fillId="0" borderId="0" xfId="0" applyAlignment="1">
      <alignment vertical="top" wrapText="1"/>
    </xf>
    <xf numFmtId="0" fontId="0" fillId="0" borderId="0" xfId="0"/>
    <xf numFmtId="0" fontId="0" fillId="0" borderId="1" xfId="0" applyBorder="1" applyAlignment="1">
      <alignment vertical="top" wrapText="1"/>
    </xf>
    <xf numFmtId="0" fontId="0" fillId="0" borderId="2" xfId="0" applyBorder="1"/>
    <xf numFmtId="0" fontId="0" fillId="0" borderId="3" xfId="0" applyBorder="1"/>
    <xf numFmtId="2" fontId="0" fillId="4" borderId="1" xfId="0" applyNumberFormat="1" applyFill="1" applyBorder="1" applyAlignment="1">
      <alignment vertical="top" wrapText="1"/>
    </xf>
    <xf numFmtId="0" fontId="0" fillId="5" borderId="1" xfId="0" applyFill="1" applyBorder="1" applyAlignment="1">
      <alignment vertical="top" wrapText="1"/>
    </xf>
    <xf numFmtId="0" fontId="2" fillId="0" borderId="1" xfId="0" applyFont="1" applyBorder="1" applyAlignment="1">
      <alignment vertical="top" wrapText="1"/>
    </xf>
    <xf numFmtId="0" fontId="0" fillId="4" borderId="1" xfId="0" applyFill="1" applyBorder="1" applyAlignment="1">
      <alignment vertical="top" wrapText="1"/>
    </xf>
    <xf numFmtId="0" fontId="2" fillId="5" borderId="1" xfId="0" applyFont="1" applyFill="1" applyBorder="1" applyAlignment="1">
      <alignment vertical="top" wrapText="1"/>
    </xf>
    <xf numFmtId="0" fontId="0" fillId="3" borderId="1" xfId="0" applyFill="1" applyBorder="1" applyAlignment="1">
      <alignment vertical="top" wrapText="1"/>
    </xf>
    <xf numFmtId="9" fontId="0" fillId="4" borderId="1" xfId="0" applyNumberFormat="1" applyFill="1" applyBorder="1" applyAlignment="1">
      <alignment vertical="top" wrapText="1"/>
    </xf>
  </cellXfs>
  <cellStyles count="1">
    <cellStyle name="Normal" xfId="0" builtinId="0"/>
  </cellStyles>
  <dxfs count="12">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tabSelected="1" workbookViewId="0"/>
  </sheetViews>
  <sheetFormatPr defaultRowHeight="14.4" x14ac:dyDescent="0.55000000000000004"/>
  <cols>
    <col min="1" max="1" width="26" customWidth="1"/>
    <col min="2" max="2" width="110" customWidth="1"/>
  </cols>
  <sheetData>
    <row r="1" spans="1:2" ht="18.3" x14ac:dyDescent="0.7">
      <c r="A1" s="1" t="s">
        <v>0</v>
      </c>
    </row>
    <row r="2" spans="1:2" x14ac:dyDescent="0.55000000000000004">
      <c r="A2" t="s">
        <v>1</v>
      </c>
    </row>
    <row r="4" spans="1:2" ht="45" customHeight="1" x14ac:dyDescent="0.55000000000000004">
      <c r="A4" s="2" t="s">
        <v>2</v>
      </c>
      <c r="B4" s="3" t="s">
        <v>3</v>
      </c>
    </row>
    <row r="5" spans="1:2" ht="75" customHeight="1" x14ac:dyDescent="0.55000000000000004">
      <c r="A5" s="2" t="s">
        <v>4</v>
      </c>
      <c r="B5" s="3" t="s">
        <v>5</v>
      </c>
    </row>
    <row r="6" spans="1:2" ht="105" customHeight="1" x14ac:dyDescent="0.55000000000000004">
      <c r="A6" s="2" t="s">
        <v>6</v>
      </c>
      <c r="B6" s="3" t="s">
        <v>7</v>
      </c>
    </row>
    <row r="7" spans="1:2" ht="30" customHeight="1" x14ac:dyDescent="0.55000000000000004">
      <c r="A7" s="2" t="s">
        <v>8</v>
      </c>
      <c r="B7" s="3" t="s">
        <v>9</v>
      </c>
    </row>
    <row r="8" spans="1:2" ht="45" customHeight="1" x14ac:dyDescent="0.55000000000000004">
      <c r="A8" s="2" t="s">
        <v>10</v>
      </c>
      <c r="B8" s="3" t="s">
        <v>11</v>
      </c>
    </row>
    <row r="9" spans="1:2" ht="45" customHeight="1" x14ac:dyDescent="0.55000000000000004">
      <c r="A9" s="2" t="s">
        <v>12</v>
      </c>
      <c r="B9" s="3"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
  <sheetViews>
    <sheetView workbookViewId="0"/>
  </sheetViews>
  <sheetFormatPr defaultRowHeight="14.4" x14ac:dyDescent="0.55000000000000004"/>
  <cols>
    <col min="1" max="1" width="34" customWidth="1"/>
    <col min="2" max="5" width="9" customWidth="1"/>
    <col min="6" max="6" width="14" customWidth="1"/>
    <col min="7" max="7" width="20" customWidth="1"/>
    <col min="8" max="8" width="24" customWidth="1"/>
    <col min="9" max="9" width="44" customWidth="1"/>
    <col min="10" max="10" width="30" customWidth="1"/>
  </cols>
  <sheetData>
    <row r="1" spans="1:10" ht="18.3" x14ac:dyDescent="0.7">
      <c r="A1" s="1" t="s">
        <v>14</v>
      </c>
    </row>
    <row r="3" spans="1:10" x14ac:dyDescent="0.55000000000000004">
      <c r="A3" s="4" t="s">
        <v>15</v>
      </c>
      <c r="B3" s="4" t="s">
        <v>16</v>
      </c>
      <c r="C3" s="4" t="s">
        <v>17</v>
      </c>
      <c r="D3" s="4" t="s">
        <v>18</v>
      </c>
      <c r="E3" s="4" t="s">
        <v>19</v>
      </c>
      <c r="F3" s="4" t="s">
        <v>20</v>
      </c>
      <c r="G3" s="4" t="s">
        <v>21</v>
      </c>
      <c r="H3" s="4" t="s">
        <v>22</v>
      </c>
      <c r="I3" s="4" t="s">
        <v>23</v>
      </c>
      <c r="J3" s="4" t="s">
        <v>24</v>
      </c>
    </row>
    <row r="4" spans="1:10" ht="48" customHeight="1" x14ac:dyDescent="0.55000000000000004">
      <c r="A4" s="5" t="s">
        <v>25</v>
      </c>
      <c r="B4" s="6">
        <f>Caso1_Banco!B17</f>
        <v>1.7</v>
      </c>
      <c r="C4" s="6">
        <f>Caso1_Banco!B18</f>
        <v>2.0999999999999996</v>
      </c>
      <c r="D4" s="6">
        <f>Caso1_Banco!B19</f>
        <v>4.5999999999999996</v>
      </c>
      <c r="E4" s="6">
        <f>Caso1_Banco!B20</f>
        <v>3.1999999999999997</v>
      </c>
      <c r="F4" s="7" t="str">
        <f>TRIM(IF(Caso1_Banco!F17="Excluido","Nexus ","")&amp;IF(Caso1_Banco!F18="Excluido","LeSS ","")&amp;IF(Caso1_Banco!F19="Excluido","SAFe ","")&amp;IF(Caso1_Banco!F20="Excluido","DA ",""))</f>
        <v/>
      </c>
      <c r="G4" s="8" t="str">
        <f>Caso1_Banco!C23</f>
        <v>SAFe</v>
      </c>
      <c r="H4" s="9" t="str">
        <f>Caso1_Banco!C27</f>
        <v>No</v>
      </c>
      <c r="I4" s="9" t="str">
        <f>Caso1_Banco!C31</f>
        <v>Robusta: ningún valor posible de los datos faltantes cambia la recomendación</v>
      </c>
      <c r="J4" s="9" t="str">
        <f>Caso1_Banco!C32</f>
        <v>SAFe</v>
      </c>
    </row>
    <row r="5" spans="1:10" ht="48" customHeight="1" x14ac:dyDescent="0.55000000000000004">
      <c r="A5" s="5" t="s">
        <v>26</v>
      </c>
      <c r="B5" s="6">
        <f>Caso2_Aseguradora!B17</f>
        <v>1.625</v>
      </c>
      <c r="C5" s="6">
        <f>Caso2_Aseguradora!B18</f>
        <v>2.0249999999999999</v>
      </c>
      <c r="D5" s="6">
        <f>Caso2_Aseguradora!B19</f>
        <v>4.375</v>
      </c>
      <c r="E5" s="6">
        <f>Caso2_Aseguradora!B20</f>
        <v>2.9749999999999996</v>
      </c>
      <c r="F5" s="7" t="str">
        <f>TRIM(IF(Caso2_Aseguradora!F17="Excluido","Nexus ","")&amp;IF(Caso2_Aseguradora!F18="Excluido","LeSS ","")&amp;IF(Caso2_Aseguradora!F19="Excluido","SAFe ","")&amp;IF(Caso2_Aseguradora!F20="Excluido","DA ",""))</f>
        <v/>
      </c>
      <c r="G5" s="8" t="str">
        <f>Caso2_Aseguradora!C23</f>
        <v>SAFe</v>
      </c>
      <c r="H5" s="9" t="str">
        <f>Caso2_Aseguradora!C27</f>
        <v>No</v>
      </c>
      <c r="I5" s="9" t="str">
        <f>Caso2_Aseguradora!C31</f>
        <v>Robusta: ningún valor posible de los datos faltantes cambia la recomendación</v>
      </c>
      <c r="J5" s="9" t="str">
        <f>Caso2_Aseguradora!C32</f>
        <v>SAFe</v>
      </c>
    </row>
    <row r="6" spans="1:10" ht="48" customHeight="1" x14ac:dyDescent="0.55000000000000004">
      <c r="A6" s="5" t="s">
        <v>27</v>
      </c>
      <c r="B6" s="6">
        <f>Caso3_Servicios!B17</f>
        <v>2.2000000000000002</v>
      </c>
      <c r="C6" s="6">
        <f>Caso3_Servicios!B18</f>
        <v>2.5</v>
      </c>
      <c r="D6" s="6">
        <f>Caso3_Servicios!B19</f>
        <v>2</v>
      </c>
      <c r="E6" s="6">
        <f>Caso3_Servicios!B20</f>
        <v>4.7</v>
      </c>
      <c r="F6" s="7" t="str">
        <f>TRIM(IF(Caso3_Servicios!F17="Excluido","Nexus ","")&amp;IF(Caso3_Servicios!F18="Excluido","LeSS ","")&amp;IF(Caso3_Servicios!F19="Excluido","SAFe ","")&amp;IF(Caso3_Servicios!F20="Excluido","DA ",""))</f>
        <v>Nexus LeSS</v>
      </c>
      <c r="G6" s="8" t="str">
        <f>Caso3_Servicios!C23</f>
        <v>Disciplined Agile</v>
      </c>
      <c r="H6" s="9" t="str">
        <f>Caso3_Servicios!C27</f>
        <v>No</v>
      </c>
      <c r="I6" s="9" t="str">
        <f>Caso3_Servicios!C31</f>
        <v>Robusta: no hay datos faltantes</v>
      </c>
      <c r="J6" s="9" t="str">
        <f>Caso3_Servicios!C32</f>
        <v>Disciplined Agile</v>
      </c>
    </row>
    <row r="7" spans="1:10" ht="48" customHeight="1" x14ac:dyDescent="0.55000000000000004">
      <c r="A7" s="5" t="s">
        <v>28</v>
      </c>
      <c r="B7" s="6">
        <f>Caso4A_Cambio!B17</f>
        <v>4.3000000000000007</v>
      </c>
      <c r="C7" s="6">
        <f>Caso4A_Cambio!B18</f>
        <v>4.0500000000000007</v>
      </c>
      <c r="D7" s="6">
        <f>Caso4A_Cambio!B19</f>
        <v>3.15</v>
      </c>
      <c r="E7" s="6">
        <f>Caso4A_Cambio!B20</f>
        <v>3.5</v>
      </c>
      <c r="F7" s="7" t="str">
        <f>TRIM(IF(Caso4A_Cambio!F17="Excluido","Nexus ","")&amp;IF(Caso4A_Cambio!F18="Excluido","LeSS ","")&amp;IF(Caso4A_Cambio!F19="Excluido","SAFe ","")&amp;IF(Caso4A_Cambio!F20="Excluido","DA ",""))</f>
        <v/>
      </c>
      <c r="G7" s="8" t="str">
        <f>Caso4A_Cambio!C23</f>
        <v>Nexus</v>
      </c>
      <c r="H7" s="9" t="str">
        <f>Caso4A_Cambio!C27</f>
        <v>No</v>
      </c>
      <c r="I7" s="9" t="str">
        <f>Caso4A_Cambio!C31</f>
        <v>Robusta: ningún valor posible de los datos faltantes cambia la recomendación</v>
      </c>
      <c r="J7" s="9" t="str">
        <f>Caso4A_Cambio!C32</f>
        <v>Nexus (esperado por las reglas, no SAFe)</v>
      </c>
    </row>
    <row r="8" spans="1:10" ht="48" customHeight="1" x14ac:dyDescent="0.55000000000000004">
      <c r="A8" s="5" t="s">
        <v>29</v>
      </c>
      <c r="B8" s="6">
        <f>Caso4B_Faltante!B17</f>
        <v>3.7</v>
      </c>
      <c r="C8" s="6">
        <f>Caso4B_Faltante!B18</f>
        <v>3.45</v>
      </c>
      <c r="D8" s="6">
        <f>Caso4B_Faltante!B19</f>
        <v>3.3000000000000003</v>
      </c>
      <c r="E8" s="6">
        <f>Caso4B_Faltante!B20</f>
        <v>3.05</v>
      </c>
      <c r="F8" s="7" t="str">
        <f>TRIM(IF(Caso4B_Faltante!F17="Excluido","Nexus ","")&amp;IF(Caso4B_Faltante!F18="Excluido","LeSS ","")&amp;IF(Caso4B_Faltante!F19="Excluido","SAFe ","")&amp;IF(Caso4B_Faltante!F20="Excluido","DA ",""))</f>
        <v/>
      </c>
      <c r="G8" s="8" t="str">
        <f>Caso4B_Faltante!C23</f>
        <v>Nexus</v>
      </c>
      <c r="H8" s="9" t="str">
        <f>Caso4B_Faltante!C27</f>
        <v>No</v>
      </c>
      <c r="I8" s="9" t="str">
        <f>Caso4B_Faltante!C31</f>
        <v>SENSIBLE: los datos faltantes pueden cambiar la recomendación; solicitar aclaración</v>
      </c>
      <c r="J8" s="9" t="str">
        <f>Caso4B_Faltante!C32</f>
        <v>Solicitar aclaración (no robusta)</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pane ySplit="4" topLeftCell="A5" activePane="bottomLeft" state="frozen"/>
      <selection pane="bottomLeft"/>
    </sheetView>
  </sheetViews>
  <sheetFormatPr defaultRowHeight="14.4" x14ac:dyDescent="0.55000000000000004"/>
  <cols>
    <col min="1" max="1" width="6" customWidth="1"/>
    <col min="2" max="2" width="26" customWidth="1"/>
    <col min="3" max="3" width="38" customWidth="1"/>
    <col min="4" max="4" width="9" customWidth="1"/>
    <col min="5" max="5" width="11" customWidth="1"/>
    <col min="6" max="6" width="60" customWidth="1"/>
    <col min="7" max="7" width="55" customWidth="1"/>
  </cols>
  <sheetData>
    <row r="1" spans="1:7" ht="18.3" x14ac:dyDescent="0.7">
      <c r="A1" s="1" t="s">
        <v>30</v>
      </c>
    </row>
    <row r="2" spans="1:7" ht="32.049999999999997" customHeight="1" x14ac:dyDescent="0.55000000000000004">
      <c r="A2" s="28" t="s">
        <v>31</v>
      </c>
      <c r="B2" s="29"/>
      <c r="C2" s="29"/>
      <c r="D2" s="29"/>
      <c r="E2" s="29"/>
      <c r="F2" s="29"/>
      <c r="G2" s="29"/>
    </row>
    <row r="4" spans="1:7" x14ac:dyDescent="0.55000000000000004">
      <c r="A4" s="4" t="s">
        <v>32</v>
      </c>
      <c r="B4" s="4" t="s">
        <v>33</v>
      </c>
      <c r="C4" s="4" t="s">
        <v>34</v>
      </c>
      <c r="D4" s="4" t="s">
        <v>35</v>
      </c>
      <c r="E4" s="4" t="s">
        <v>36</v>
      </c>
      <c r="F4" s="4" t="s">
        <v>37</v>
      </c>
      <c r="G4" s="4" t="s">
        <v>38</v>
      </c>
    </row>
    <row r="5" spans="1:7" ht="90" customHeight="1" x14ac:dyDescent="0.55000000000000004">
      <c r="A5" s="10" t="s">
        <v>39</v>
      </c>
      <c r="B5" s="11" t="s">
        <v>40</v>
      </c>
      <c r="C5" s="11" t="s">
        <v>41</v>
      </c>
      <c r="D5" s="12">
        <v>0.15</v>
      </c>
      <c r="E5" s="13" t="s">
        <v>42</v>
      </c>
      <c r="F5" s="11" t="s">
        <v>43</v>
      </c>
      <c r="G5" s="11" t="s">
        <v>44</v>
      </c>
    </row>
    <row r="6" spans="1:7" ht="90" customHeight="1" x14ac:dyDescent="0.55000000000000004">
      <c r="A6" s="10" t="s">
        <v>45</v>
      </c>
      <c r="B6" s="11" t="s">
        <v>46</v>
      </c>
      <c r="C6" s="11" t="s">
        <v>47</v>
      </c>
      <c r="D6" s="12">
        <v>0.2</v>
      </c>
      <c r="E6" s="13" t="s">
        <v>42</v>
      </c>
      <c r="F6" s="11" t="s">
        <v>48</v>
      </c>
      <c r="G6" s="11" t="s">
        <v>49</v>
      </c>
    </row>
    <row r="7" spans="1:7" ht="90" customHeight="1" x14ac:dyDescent="0.55000000000000004">
      <c r="A7" s="10" t="s">
        <v>50</v>
      </c>
      <c r="B7" s="11" t="s">
        <v>51</v>
      </c>
      <c r="C7" s="11" t="s">
        <v>52</v>
      </c>
      <c r="D7" s="12">
        <v>0.15</v>
      </c>
      <c r="E7" s="13" t="s">
        <v>53</v>
      </c>
      <c r="F7" s="11" t="s">
        <v>54</v>
      </c>
      <c r="G7" s="11" t="s">
        <v>55</v>
      </c>
    </row>
    <row r="8" spans="1:7" ht="90" customHeight="1" x14ac:dyDescent="0.55000000000000004">
      <c r="A8" s="10" t="s">
        <v>56</v>
      </c>
      <c r="B8" s="11" t="s">
        <v>57</v>
      </c>
      <c r="C8" s="11" t="s">
        <v>58</v>
      </c>
      <c r="D8" s="12">
        <v>0.1</v>
      </c>
      <c r="E8" s="13" t="s">
        <v>53</v>
      </c>
      <c r="F8" s="11" t="s">
        <v>59</v>
      </c>
      <c r="G8" s="11" t="s">
        <v>60</v>
      </c>
    </row>
    <row r="9" spans="1:7" ht="90" customHeight="1" x14ac:dyDescent="0.55000000000000004">
      <c r="A9" s="10" t="s">
        <v>61</v>
      </c>
      <c r="B9" s="11" t="s">
        <v>62</v>
      </c>
      <c r="C9" s="11" t="s">
        <v>63</v>
      </c>
      <c r="D9" s="12">
        <v>0.15</v>
      </c>
      <c r="E9" s="13" t="s">
        <v>53</v>
      </c>
      <c r="F9" s="11" t="s">
        <v>64</v>
      </c>
      <c r="G9" s="11" t="s">
        <v>65</v>
      </c>
    </row>
    <row r="10" spans="1:7" ht="90" customHeight="1" x14ac:dyDescent="0.55000000000000004">
      <c r="A10" s="10" t="s">
        <v>66</v>
      </c>
      <c r="B10" s="11" t="s">
        <v>67</v>
      </c>
      <c r="C10" s="11" t="s">
        <v>68</v>
      </c>
      <c r="D10" s="12">
        <v>0.1</v>
      </c>
      <c r="E10" s="13" t="s">
        <v>53</v>
      </c>
      <c r="F10" s="11" t="s">
        <v>69</v>
      </c>
      <c r="G10" s="11" t="s">
        <v>70</v>
      </c>
    </row>
    <row r="11" spans="1:7" ht="90" customHeight="1" x14ac:dyDescent="0.55000000000000004">
      <c r="A11" s="10" t="s">
        <v>71</v>
      </c>
      <c r="B11" s="11" t="s">
        <v>72</v>
      </c>
      <c r="C11" s="11" t="s">
        <v>73</v>
      </c>
      <c r="D11" s="12">
        <v>0.15</v>
      </c>
      <c r="E11" s="13" t="s">
        <v>42</v>
      </c>
      <c r="F11" s="11" t="s">
        <v>74</v>
      </c>
      <c r="G11" s="11" t="s">
        <v>75</v>
      </c>
    </row>
    <row r="12" spans="1:7" x14ac:dyDescent="0.55000000000000004">
      <c r="C12" s="2" t="s">
        <v>76</v>
      </c>
      <c r="D12" s="14">
        <f>SUM(D5:D11)</f>
        <v>1</v>
      </c>
      <c r="E12" s="15" t="str">
        <f>IF(ROUND(D12,4)=1,"OK","ERROR: los pesos no suman 100 %")</f>
        <v>OK</v>
      </c>
    </row>
  </sheetData>
  <mergeCells count="1">
    <mergeCell ref="A2:G2"/>
  </mergeCells>
  <dataValidations count="1">
    <dataValidation type="list" sqref="E5:E11" xr:uid="{00000000-0002-0000-0200-000000000000}">
      <formula1>"Sí,No"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37"/>
  <sheetViews>
    <sheetView workbookViewId="0">
      <pane ySplit="14" topLeftCell="A15" activePane="bottomLeft" state="frozen"/>
      <selection pane="bottomLeft"/>
    </sheetView>
  </sheetViews>
  <sheetFormatPr defaultRowHeight="14.4" x14ac:dyDescent="0.55000000000000004"/>
  <cols>
    <col min="1" max="1" width="30" customWidth="1"/>
    <col min="2" max="2" width="8" customWidth="1"/>
    <col min="3" max="3" width="24" customWidth="1"/>
    <col min="4" max="4" width="55" customWidth="1"/>
    <col min="5" max="8" width="8" customWidth="1"/>
    <col min="9" max="9" width="60" customWidth="1"/>
  </cols>
  <sheetData>
    <row r="1" spans="1:9" ht="18.3" x14ac:dyDescent="0.7">
      <c r="A1" s="1" t="s">
        <v>77</v>
      </c>
    </row>
    <row r="3" spans="1:9" x14ac:dyDescent="0.55000000000000004">
      <c r="A3" s="16" t="s">
        <v>78</v>
      </c>
    </row>
    <row r="4" spans="1:9" ht="28.8" x14ac:dyDescent="0.55000000000000004">
      <c r="A4" s="4" t="s">
        <v>79</v>
      </c>
      <c r="B4" s="4" t="s">
        <v>80</v>
      </c>
      <c r="C4" s="4" t="s">
        <v>81</v>
      </c>
    </row>
    <row r="5" spans="1:9" ht="28.8" x14ac:dyDescent="0.55000000000000004">
      <c r="A5" s="10">
        <v>0</v>
      </c>
      <c r="B5" s="10" t="s">
        <v>82</v>
      </c>
      <c r="C5" s="30" t="s">
        <v>83</v>
      </c>
      <c r="D5" s="31"/>
      <c r="E5" s="31"/>
      <c r="F5" s="31"/>
      <c r="G5" s="31"/>
      <c r="H5" s="31"/>
      <c r="I5" s="32"/>
    </row>
    <row r="6" spans="1:9" ht="28.8" x14ac:dyDescent="0.55000000000000004">
      <c r="A6" s="10">
        <v>1</v>
      </c>
      <c r="B6" s="10" t="s">
        <v>84</v>
      </c>
      <c r="C6" s="30" t="s">
        <v>85</v>
      </c>
      <c r="D6" s="31"/>
      <c r="E6" s="31"/>
      <c r="F6" s="31"/>
      <c r="G6" s="31"/>
      <c r="H6" s="31"/>
      <c r="I6" s="32"/>
    </row>
    <row r="7" spans="1:9" x14ac:dyDescent="0.55000000000000004">
      <c r="A7" s="10">
        <v>2</v>
      </c>
      <c r="B7" s="10" t="s">
        <v>86</v>
      </c>
      <c r="C7" s="30" t="s">
        <v>87</v>
      </c>
      <c r="D7" s="31"/>
      <c r="E7" s="31"/>
      <c r="F7" s="31"/>
      <c r="G7" s="31"/>
      <c r="H7" s="31"/>
      <c r="I7" s="32"/>
    </row>
    <row r="8" spans="1:9" x14ac:dyDescent="0.55000000000000004">
      <c r="A8" s="10">
        <v>3</v>
      </c>
      <c r="B8" s="10" t="s">
        <v>88</v>
      </c>
      <c r="C8" s="30" t="s">
        <v>89</v>
      </c>
      <c r="D8" s="31"/>
      <c r="E8" s="31"/>
      <c r="F8" s="31"/>
      <c r="G8" s="31"/>
      <c r="H8" s="31"/>
      <c r="I8" s="32"/>
    </row>
    <row r="9" spans="1:9" x14ac:dyDescent="0.55000000000000004">
      <c r="A9" s="10">
        <v>4</v>
      </c>
      <c r="B9" s="10" t="s">
        <v>90</v>
      </c>
      <c r="C9" s="30" t="s">
        <v>91</v>
      </c>
      <c r="D9" s="31"/>
      <c r="E9" s="31"/>
      <c r="F9" s="31"/>
      <c r="G9" s="31"/>
      <c r="H9" s="31"/>
      <c r="I9" s="32"/>
    </row>
    <row r="10" spans="1:9" x14ac:dyDescent="0.55000000000000004">
      <c r="A10" s="10">
        <v>5</v>
      </c>
      <c r="B10" s="10" t="s">
        <v>92</v>
      </c>
      <c r="C10" s="30" t="s">
        <v>93</v>
      </c>
      <c r="D10" s="31"/>
      <c r="E10" s="31"/>
      <c r="F10" s="31"/>
      <c r="G10" s="31"/>
      <c r="H10" s="31"/>
      <c r="I10" s="32"/>
    </row>
    <row r="11" spans="1:9" x14ac:dyDescent="0.55000000000000004">
      <c r="A11" s="17" t="s">
        <v>94</v>
      </c>
    </row>
    <row r="13" spans="1:9" x14ac:dyDescent="0.55000000000000004">
      <c r="A13" s="16" t="s">
        <v>95</v>
      </c>
    </row>
    <row r="14" spans="1:9" x14ac:dyDescent="0.55000000000000004">
      <c r="A14" s="4" t="s">
        <v>96</v>
      </c>
      <c r="B14" s="4" t="s">
        <v>33</v>
      </c>
      <c r="C14" s="4" t="s">
        <v>97</v>
      </c>
      <c r="D14" s="4" t="s">
        <v>98</v>
      </c>
      <c r="E14" s="4" t="s">
        <v>16</v>
      </c>
      <c r="F14" s="4" t="s">
        <v>17</v>
      </c>
      <c r="G14" s="4" t="s">
        <v>18</v>
      </c>
      <c r="H14" s="4" t="s">
        <v>19</v>
      </c>
      <c r="I14" s="4" t="s">
        <v>99</v>
      </c>
    </row>
    <row r="15" spans="1:9" ht="48" customHeight="1" x14ac:dyDescent="0.55000000000000004">
      <c r="A15" s="7" t="str">
        <f t="shared" ref="A15:A37" si="0">B15&amp;"|"&amp;C15</f>
        <v>C1|1 a 3 equipos</v>
      </c>
      <c r="B15" s="10" t="s">
        <v>39</v>
      </c>
      <c r="C15" s="11" t="s">
        <v>100</v>
      </c>
      <c r="D15" s="11" t="s">
        <v>101</v>
      </c>
      <c r="E15" s="13">
        <v>3</v>
      </c>
      <c r="F15" s="13">
        <v>4</v>
      </c>
      <c r="G15" s="13">
        <v>1</v>
      </c>
      <c r="H15" s="13">
        <v>5</v>
      </c>
      <c r="I15" s="11" t="s">
        <v>102</v>
      </c>
    </row>
    <row r="16" spans="1:9" ht="48" customHeight="1" x14ac:dyDescent="0.55000000000000004">
      <c r="A16" s="7" t="str">
        <f t="shared" si="0"/>
        <v>C1|4 a 9 equipos</v>
      </c>
      <c r="B16" s="10" t="s">
        <v>39</v>
      </c>
      <c r="C16" s="11" t="s">
        <v>103</v>
      </c>
      <c r="D16" s="11" t="s">
        <v>104</v>
      </c>
      <c r="E16" s="13">
        <v>5</v>
      </c>
      <c r="F16" s="13">
        <v>5</v>
      </c>
      <c r="G16" s="13">
        <v>3</v>
      </c>
      <c r="H16" s="13">
        <v>4</v>
      </c>
      <c r="I16" s="11" t="s">
        <v>105</v>
      </c>
    </row>
    <row r="17" spans="1:9" ht="48" customHeight="1" x14ac:dyDescent="0.55000000000000004">
      <c r="A17" s="7" t="str">
        <f t="shared" si="0"/>
        <v>C1|10 a 15 equipos</v>
      </c>
      <c r="B17" s="10" t="s">
        <v>39</v>
      </c>
      <c r="C17" s="11" t="s">
        <v>106</v>
      </c>
      <c r="D17" s="11" t="s">
        <v>107</v>
      </c>
      <c r="E17" s="13">
        <v>3</v>
      </c>
      <c r="F17" s="13">
        <v>4</v>
      </c>
      <c r="G17" s="13">
        <v>4</v>
      </c>
      <c r="H17" s="13">
        <v>4</v>
      </c>
      <c r="I17" s="11" t="s">
        <v>108</v>
      </c>
    </row>
    <row r="18" spans="1:9" ht="48" customHeight="1" x14ac:dyDescent="0.55000000000000004">
      <c r="A18" s="7" t="str">
        <f t="shared" si="0"/>
        <v>C1|16 a 50 equipos</v>
      </c>
      <c r="B18" s="10" t="s">
        <v>39</v>
      </c>
      <c r="C18" s="11" t="s">
        <v>109</v>
      </c>
      <c r="D18" s="11" t="s">
        <v>110</v>
      </c>
      <c r="E18" s="13">
        <v>1</v>
      </c>
      <c r="F18" s="13">
        <v>3</v>
      </c>
      <c r="G18" s="13">
        <v>5</v>
      </c>
      <c r="H18" s="13">
        <v>3</v>
      </c>
      <c r="I18" s="11" t="s">
        <v>111</v>
      </c>
    </row>
    <row r="19" spans="1:9" ht="48" customHeight="1" x14ac:dyDescent="0.55000000000000004">
      <c r="A19" s="7" t="str">
        <f t="shared" si="0"/>
        <v>C1|Más de 50 equipos</v>
      </c>
      <c r="B19" s="10" t="s">
        <v>39</v>
      </c>
      <c r="C19" s="11" t="s">
        <v>112</v>
      </c>
      <c r="D19" s="11" t="s">
        <v>113</v>
      </c>
      <c r="E19" s="13">
        <v>0</v>
      </c>
      <c r="F19" s="13">
        <v>2</v>
      </c>
      <c r="G19" s="13">
        <v>5</v>
      </c>
      <c r="H19" s="13">
        <v>3</v>
      </c>
      <c r="I19" s="11" t="s">
        <v>114</v>
      </c>
    </row>
    <row r="20" spans="1:9" ht="48" customHeight="1" x14ac:dyDescent="0.55000000000000004">
      <c r="A20" s="7" t="str">
        <f t="shared" si="0"/>
        <v>C2|Un solo producto</v>
      </c>
      <c r="B20" s="10" t="s">
        <v>45</v>
      </c>
      <c r="C20" s="11" t="s">
        <v>115</v>
      </c>
      <c r="D20" s="11" t="s">
        <v>116</v>
      </c>
      <c r="E20" s="13">
        <v>5</v>
      </c>
      <c r="F20" s="13">
        <v>5</v>
      </c>
      <c r="G20" s="13">
        <v>3</v>
      </c>
      <c r="H20" s="13">
        <v>3</v>
      </c>
      <c r="I20" s="11" t="s">
        <v>117</v>
      </c>
    </row>
    <row r="21" spans="1:9" ht="48" customHeight="1" x14ac:dyDescent="0.55000000000000004">
      <c r="A21" s="7" t="str">
        <f t="shared" si="0"/>
        <v>C2|Varias soluciones interdependientes</v>
      </c>
      <c r="B21" s="10" t="s">
        <v>45</v>
      </c>
      <c r="C21" s="11" t="s">
        <v>118</v>
      </c>
      <c r="D21" s="11" t="s">
        <v>119</v>
      </c>
      <c r="E21" s="13">
        <v>1</v>
      </c>
      <c r="F21" s="13">
        <v>2</v>
      </c>
      <c r="G21" s="13">
        <v>5</v>
      </c>
      <c r="H21" s="13">
        <v>3</v>
      </c>
      <c r="I21" s="11" t="s">
        <v>120</v>
      </c>
    </row>
    <row r="22" spans="1:9" ht="48" customHeight="1" x14ac:dyDescent="0.55000000000000004">
      <c r="A22" s="7" t="str">
        <f t="shared" si="0"/>
        <v>C2|Productos o proyectos independientes</v>
      </c>
      <c r="B22" s="10" t="s">
        <v>45</v>
      </c>
      <c r="C22" s="11" t="s">
        <v>121</v>
      </c>
      <c r="D22" s="11" t="s">
        <v>122</v>
      </c>
      <c r="E22" s="13">
        <v>0</v>
      </c>
      <c r="F22" s="13">
        <v>0</v>
      </c>
      <c r="G22" s="13">
        <v>2</v>
      </c>
      <c r="H22" s="13">
        <v>5</v>
      </c>
      <c r="I22" s="11" t="s">
        <v>123</v>
      </c>
    </row>
    <row r="23" spans="1:9" ht="48" customHeight="1" x14ac:dyDescent="0.55000000000000004">
      <c r="A23" s="7" t="str">
        <f t="shared" si="0"/>
        <v>C3|Bajas</v>
      </c>
      <c r="B23" s="10" t="s">
        <v>50</v>
      </c>
      <c r="C23" s="11" t="s">
        <v>124</v>
      </c>
      <c r="D23" s="11" t="s">
        <v>125</v>
      </c>
      <c r="E23" s="13">
        <v>3</v>
      </c>
      <c r="F23" s="13">
        <v>4</v>
      </c>
      <c r="G23" s="13">
        <v>2</v>
      </c>
      <c r="H23" s="13">
        <v>5</v>
      </c>
      <c r="I23" s="11" t="s">
        <v>126</v>
      </c>
    </row>
    <row r="24" spans="1:9" ht="48" customHeight="1" x14ac:dyDescent="0.55000000000000004">
      <c r="A24" s="7" t="str">
        <f t="shared" si="0"/>
        <v>C3|Medias</v>
      </c>
      <c r="B24" s="10" t="s">
        <v>50</v>
      </c>
      <c r="C24" s="11" t="s">
        <v>127</v>
      </c>
      <c r="D24" s="11" t="s">
        <v>128</v>
      </c>
      <c r="E24" s="13">
        <v>5</v>
      </c>
      <c r="F24" s="13">
        <v>4</v>
      </c>
      <c r="G24" s="13">
        <v>4</v>
      </c>
      <c r="H24" s="13">
        <v>4</v>
      </c>
      <c r="I24" s="11" t="s">
        <v>129</v>
      </c>
    </row>
    <row r="25" spans="1:9" ht="48" customHeight="1" x14ac:dyDescent="0.55000000000000004">
      <c r="A25" s="7" t="str">
        <f t="shared" si="0"/>
        <v>C3|Altas</v>
      </c>
      <c r="B25" s="10" t="s">
        <v>50</v>
      </c>
      <c r="C25" s="11" t="s">
        <v>130</v>
      </c>
      <c r="D25" s="11" t="s">
        <v>131</v>
      </c>
      <c r="E25" s="13">
        <v>2</v>
      </c>
      <c r="F25" s="13">
        <v>2</v>
      </c>
      <c r="G25" s="13">
        <v>5</v>
      </c>
      <c r="H25" s="13">
        <v>3</v>
      </c>
      <c r="I25" s="11" t="s">
        <v>132</v>
      </c>
    </row>
    <row r="26" spans="1:9" ht="48" customHeight="1" x14ac:dyDescent="0.55000000000000004">
      <c r="A26" s="7" t="str">
        <f t="shared" si="0"/>
        <v>C4|Ligera</v>
      </c>
      <c r="B26" s="10" t="s">
        <v>56</v>
      </c>
      <c r="C26" s="11" t="s">
        <v>133</v>
      </c>
      <c r="D26" s="11" t="s">
        <v>134</v>
      </c>
      <c r="E26" s="13">
        <v>4</v>
      </c>
      <c r="F26" s="13">
        <v>5</v>
      </c>
      <c r="G26" s="13">
        <v>2</v>
      </c>
      <c r="H26" s="13">
        <v>4</v>
      </c>
      <c r="I26" s="11" t="s">
        <v>135</v>
      </c>
    </row>
    <row r="27" spans="1:9" ht="48" customHeight="1" x14ac:dyDescent="0.55000000000000004">
      <c r="A27" s="7" t="str">
        <f t="shared" si="0"/>
        <v>C4|Variable por contrato o cliente</v>
      </c>
      <c r="B27" s="10" t="s">
        <v>56</v>
      </c>
      <c r="C27" s="11" t="s">
        <v>136</v>
      </c>
      <c r="D27" s="11" t="s">
        <v>137</v>
      </c>
      <c r="E27" s="13">
        <v>3</v>
      </c>
      <c r="F27" s="13">
        <v>2</v>
      </c>
      <c r="G27" s="13">
        <v>3</v>
      </c>
      <c r="H27" s="13">
        <v>5</v>
      </c>
      <c r="I27" s="11" t="s">
        <v>138</v>
      </c>
    </row>
    <row r="28" spans="1:9" ht="48" customHeight="1" x14ac:dyDescent="0.55000000000000004">
      <c r="A28" s="7" t="str">
        <f t="shared" si="0"/>
        <v>C4|Regulatoria formal</v>
      </c>
      <c r="B28" s="10" t="s">
        <v>56</v>
      </c>
      <c r="C28" s="11" t="s">
        <v>139</v>
      </c>
      <c r="D28" s="11" t="s">
        <v>140</v>
      </c>
      <c r="E28" s="13">
        <v>2</v>
      </c>
      <c r="F28" s="13">
        <v>1</v>
      </c>
      <c r="G28" s="13">
        <v>5</v>
      </c>
      <c r="H28" s="13">
        <v>4</v>
      </c>
      <c r="I28" s="11" t="s">
        <v>141</v>
      </c>
    </row>
    <row r="29" spans="1:9" ht="48" customHeight="1" x14ac:dyDescent="0.55000000000000004">
      <c r="A29" s="7" t="str">
        <f t="shared" si="0"/>
        <v>C5|Bajo</v>
      </c>
      <c r="B29" s="10" t="s">
        <v>61</v>
      </c>
      <c r="C29" s="11" t="s">
        <v>142</v>
      </c>
      <c r="D29" s="11" t="s">
        <v>143</v>
      </c>
      <c r="E29" s="13">
        <v>4</v>
      </c>
      <c r="F29" s="13">
        <v>4</v>
      </c>
      <c r="G29" s="13">
        <v>1</v>
      </c>
      <c r="H29" s="13">
        <v>4</v>
      </c>
      <c r="I29" s="11" t="s">
        <v>144</v>
      </c>
    </row>
    <row r="30" spans="1:9" ht="48" customHeight="1" x14ac:dyDescent="0.55000000000000004">
      <c r="A30" s="7" t="str">
        <f t="shared" si="0"/>
        <v>C5|Medio</v>
      </c>
      <c r="B30" s="10" t="s">
        <v>61</v>
      </c>
      <c r="C30" s="11" t="s">
        <v>145</v>
      </c>
      <c r="D30" s="11" t="s">
        <v>146</v>
      </c>
      <c r="E30" s="13">
        <v>4</v>
      </c>
      <c r="F30" s="13">
        <v>4</v>
      </c>
      <c r="G30" s="13">
        <v>3</v>
      </c>
      <c r="H30" s="13">
        <v>4</v>
      </c>
      <c r="I30" s="11" t="s">
        <v>147</v>
      </c>
    </row>
    <row r="31" spans="1:9" ht="48" customHeight="1" x14ac:dyDescent="0.55000000000000004">
      <c r="A31" s="7" t="str">
        <f t="shared" si="0"/>
        <v>C5|Alto</v>
      </c>
      <c r="B31" s="10" t="s">
        <v>61</v>
      </c>
      <c r="C31" s="11" t="s">
        <v>148</v>
      </c>
      <c r="D31" s="11" t="s">
        <v>149</v>
      </c>
      <c r="E31" s="13">
        <v>1</v>
      </c>
      <c r="F31" s="13">
        <v>1</v>
      </c>
      <c r="G31" s="13">
        <v>5</v>
      </c>
      <c r="H31" s="13">
        <v>3</v>
      </c>
      <c r="I31" s="11" t="s">
        <v>150</v>
      </c>
    </row>
    <row r="32" spans="1:9" ht="48" customHeight="1" x14ac:dyDescent="0.55000000000000004">
      <c r="A32" s="7" t="str">
        <f t="shared" si="0"/>
        <v>C6|Baja</v>
      </c>
      <c r="B32" s="10" t="s">
        <v>66</v>
      </c>
      <c r="C32" s="11" t="s">
        <v>86</v>
      </c>
      <c r="D32" s="11" t="s">
        <v>151</v>
      </c>
      <c r="E32" s="13">
        <v>4</v>
      </c>
      <c r="F32" s="13">
        <v>4</v>
      </c>
      <c r="G32" s="13">
        <v>5</v>
      </c>
      <c r="H32" s="13">
        <v>3</v>
      </c>
      <c r="I32" s="11" t="s">
        <v>152</v>
      </c>
    </row>
    <row r="33" spans="1:9" ht="48" customHeight="1" x14ac:dyDescent="0.55000000000000004">
      <c r="A33" s="7" t="str">
        <f t="shared" si="0"/>
        <v>C6|Media</v>
      </c>
      <c r="B33" s="10" t="s">
        <v>66</v>
      </c>
      <c r="C33" s="11" t="s">
        <v>88</v>
      </c>
      <c r="D33" s="11" t="s">
        <v>153</v>
      </c>
      <c r="E33" s="13">
        <v>4</v>
      </c>
      <c r="F33" s="13">
        <v>4</v>
      </c>
      <c r="G33" s="13">
        <v>4</v>
      </c>
      <c r="H33" s="13">
        <v>4</v>
      </c>
      <c r="I33" s="11" t="s">
        <v>154</v>
      </c>
    </row>
    <row r="34" spans="1:9" ht="48" customHeight="1" x14ac:dyDescent="0.55000000000000004">
      <c r="A34" s="7" t="str">
        <f t="shared" si="0"/>
        <v>C6|Alta</v>
      </c>
      <c r="B34" s="10" t="s">
        <v>66</v>
      </c>
      <c r="C34" s="11" t="s">
        <v>90</v>
      </c>
      <c r="D34" s="11" t="s">
        <v>155</v>
      </c>
      <c r="E34" s="13">
        <v>1</v>
      </c>
      <c r="F34" s="13">
        <v>2</v>
      </c>
      <c r="G34" s="13">
        <v>1</v>
      </c>
      <c r="H34" s="13">
        <v>5</v>
      </c>
      <c r="I34" s="11" t="s">
        <v>156</v>
      </c>
    </row>
    <row r="35" spans="1:9" ht="48" customHeight="1" x14ac:dyDescent="0.55000000000000004">
      <c r="A35" s="7" t="str">
        <f t="shared" si="0"/>
        <v>C7|Baja</v>
      </c>
      <c r="B35" s="10" t="s">
        <v>71</v>
      </c>
      <c r="C35" s="11" t="s">
        <v>86</v>
      </c>
      <c r="D35" s="11" t="s">
        <v>157</v>
      </c>
      <c r="E35" s="13">
        <v>5</v>
      </c>
      <c r="F35" s="13">
        <v>5</v>
      </c>
      <c r="G35" s="13">
        <v>4</v>
      </c>
      <c r="H35" s="13">
        <v>3</v>
      </c>
      <c r="I35" s="11" t="s">
        <v>158</v>
      </c>
    </row>
    <row r="36" spans="1:9" ht="48" customHeight="1" x14ac:dyDescent="0.55000000000000004">
      <c r="A36" s="7" t="str">
        <f t="shared" si="0"/>
        <v>C7|Media</v>
      </c>
      <c r="B36" s="10" t="s">
        <v>71</v>
      </c>
      <c r="C36" s="11" t="s">
        <v>88</v>
      </c>
      <c r="D36" s="11" t="s">
        <v>159</v>
      </c>
      <c r="E36" s="13">
        <v>3</v>
      </c>
      <c r="F36" s="13">
        <v>3</v>
      </c>
      <c r="G36" s="13">
        <v>4</v>
      </c>
      <c r="H36" s="13">
        <v>4</v>
      </c>
      <c r="I36" s="11" t="s">
        <v>160</v>
      </c>
    </row>
    <row r="37" spans="1:9" ht="48" customHeight="1" x14ac:dyDescent="0.55000000000000004">
      <c r="A37" s="7" t="str">
        <f t="shared" si="0"/>
        <v>C7|Alta</v>
      </c>
      <c r="B37" s="10" t="s">
        <v>71</v>
      </c>
      <c r="C37" s="11" t="s">
        <v>90</v>
      </c>
      <c r="D37" s="11" t="s">
        <v>161</v>
      </c>
      <c r="E37" s="13">
        <v>0</v>
      </c>
      <c r="F37" s="13">
        <v>1</v>
      </c>
      <c r="G37" s="13">
        <v>2</v>
      </c>
      <c r="H37" s="13">
        <v>5</v>
      </c>
      <c r="I37" s="11" t="s">
        <v>162</v>
      </c>
    </row>
  </sheetData>
  <mergeCells count="6">
    <mergeCell ref="C10:I10"/>
    <mergeCell ref="C5:I5"/>
    <mergeCell ref="C9:I9"/>
    <mergeCell ref="C8:I8"/>
    <mergeCell ref="C6:I6"/>
    <mergeCell ref="C7:I7"/>
  </mergeCells>
  <dataValidations count="1">
    <dataValidation type="whole" sqref="E15:H37" xr:uid="{00000000-0002-0000-0300-000000000000}">
      <formula1>0</formula1>
      <formula2>5</formula2>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
  <sheetViews>
    <sheetView workbookViewId="0"/>
  </sheetViews>
  <sheetFormatPr defaultRowHeight="14.4" x14ac:dyDescent="0.55000000000000004"/>
  <cols>
    <col min="1" max="1" width="30" customWidth="1"/>
    <col min="2" max="2" width="18" customWidth="1"/>
    <col min="3" max="3" width="110" customWidth="1"/>
  </cols>
  <sheetData>
    <row r="1" spans="1:3" ht="18.3" x14ac:dyDescent="0.7">
      <c r="A1" s="1" t="s">
        <v>163</v>
      </c>
    </row>
    <row r="3" spans="1:3" x14ac:dyDescent="0.55000000000000004">
      <c r="A3" s="4" t="s">
        <v>164</v>
      </c>
      <c r="B3" s="4" t="s">
        <v>165</v>
      </c>
      <c r="C3" s="4" t="s">
        <v>166</v>
      </c>
    </row>
    <row r="4" spans="1:3" ht="32.049999999999997" customHeight="1" x14ac:dyDescent="0.55000000000000004">
      <c r="A4" s="5" t="s">
        <v>167</v>
      </c>
      <c r="B4" s="18">
        <v>0.1</v>
      </c>
      <c r="C4" s="11" t="s">
        <v>168</v>
      </c>
    </row>
    <row r="5" spans="1:3" ht="32.049999999999997" customHeight="1" x14ac:dyDescent="0.55000000000000004">
      <c r="A5" s="5" t="s">
        <v>169</v>
      </c>
      <c r="B5" s="18">
        <v>2.5</v>
      </c>
      <c r="C5" s="11" t="s">
        <v>170</v>
      </c>
    </row>
    <row r="8" spans="1:3" x14ac:dyDescent="0.55000000000000004">
      <c r="A8" s="4" t="s">
        <v>171</v>
      </c>
      <c r="B8" s="4" t="s">
        <v>172</v>
      </c>
      <c r="C8" s="4" t="s">
        <v>173</v>
      </c>
    </row>
    <row r="9" spans="1:3" ht="48" customHeight="1" x14ac:dyDescent="0.55000000000000004">
      <c r="A9" s="5" t="s">
        <v>174</v>
      </c>
      <c r="B9" s="11" t="s">
        <v>175</v>
      </c>
      <c r="C9" s="11" t="s">
        <v>176</v>
      </c>
    </row>
    <row r="10" spans="1:3" ht="48" customHeight="1" x14ac:dyDescent="0.55000000000000004">
      <c r="A10" s="5" t="s">
        <v>177</v>
      </c>
      <c r="B10" s="11" t="s">
        <v>178</v>
      </c>
      <c r="C10" s="11" t="s">
        <v>179</v>
      </c>
    </row>
    <row r="11" spans="1:3" ht="48" customHeight="1" x14ac:dyDescent="0.55000000000000004">
      <c r="A11" s="5" t="s">
        <v>180</v>
      </c>
      <c r="B11" s="11" t="s">
        <v>181</v>
      </c>
      <c r="C11" s="11" t="s">
        <v>182</v>
      </c>
    </row>
    <row r="12" spans="1:3" ht="48" customHeight="1" x14ac:dyDescent="0.55000000000000004">
      <c r="A12" s="5" t="s">
        <v>183</v>
      </c>
      <c r="B12" s="11" t="s">
        <v>181</v>
      </c>
      <c r="C12" s="11" t="s">
        <v>184</v>
      </c>
    </row>
    <row r="13" spans="1:3" ht="48" customHeight="1" x14ac:dyDescent="0.55000000000000004">
      <c r="A13" s="5" t="s">
        <v>185</v>
      </c>
      <c r="B13" s="11" t="s">
        <v>186</v>
      </c>
      <c r="C13" s="11" t="s">
        <v>187</v>
      </c>
    </row>
    <row r="14" spans="1:3" ht="48" customHeight="1" x14ac:dyDescent="0.55000000000000004">
      <c r="A14" s="5" t="s">
        <v>188</v>
      </c>
      <c r="B14" s="11" t="s">
        <v>189</v>
      </c>
      <c r="C14" s="11" t="s">
        <v>190</v>
      </c>
    </row>
    <row r="15" spans="1:3" ht="48" customHeight="1" x14ac:dyDescent="0.55000000000000004">
      <c r="A15" s="5" t="s">
        <v>191</v>
      </c>
      <c r="B15" s="11" t="s">
        <v>192</v>
      </c>
      <c r="C15" s="11" t="s">
        <v>193</v>
      </c>
    </row>
    <row r="16" spans="1:3" ht="48" customHeight="1" x14ac:dyDescent="0.55000000000000004">
      <c r="A16" s="5" t="s">
        <v>194</v>
      </c>
      <c r="B16" s="11" t="s">
        <v>175</v>
      </c>
      <c r="C16" s="11" t="s">
        <v>195</v>
      </c>
    </row>
    <row r="17" spans="1:3" ht="48" customHeight="1" x14ac:dyDescent="0.55000000000000004">
      <c r="A17" s="5" t="s">
        <v>196</v>
      </c>
      <c r="B17" s="11" t="s">
        <v>186</v>
      </c>
      <c r="C17" s="11" t="s">
        <v>197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sheetViews>
  <sheetFormatPr defaultRowHeight="14.4" x14ac:dyDescent="0.55000000000000004"/>
  <cols>
    <col min="1" max="1" width="20" customWidth="1"/>
    <col min="2" max="2" width="34" customWidth="1"/>
    <col min="3" max="9" width="8" customWidth="1"/>
  </cols>
  <sheetData>
    <row r="1" spans="1:9" x14ac:dyDescent="0.55000000000000004">
      <c r="A1" s="16" t="s">
        <v>198</v>
      </c>
    </row>
    <row r="2" spans="1:9" x14ac:dyDescent="0.55000000000000004">
      <c r="A2" t="s">
        <v>199</v>
      </c>
    </row>
    <row r="4" spans="1:9" x14ac:dyDescent="0.55000000000000004">
      <c r="A4" s="4" t="s">
        <v>200</v>
      </c>
      <c r="B4" s="4" t="s">
        <v>201</v>
      </c>
      <c r="C4" s="4" t="s">
        <v>39</v>
      </c>
      <c r="D4" s="4" t="s">
        <v>45</v>
      </c>
      <c r="E4" s="4" t="s">
        <v>50</v>
      </c>
      <c r="F4" s="4" t="s">
        <v>56</v>
      </c>
      <c r="G4" s="4" t="s">
        <v>61</v>
      </c>
      <c r="H4" s="4" t="s">
        <v>66</v>
      </c>
      <c r="I4" s="4" t="s">
        <v>71</v>
      </c>
    </row>
    <row r="5" spans="1:9" x14ac:dyDescent="0.55000000000000004">
      <c r="A5" s="10" t="s">
        <v>16</v>
      </c>
      <c r="B5" s="7" t="str">
        <f>A5&amp;"|"&amp;"Nexus"</f>
        <v>Nexus|Nexus</v>
      </c>
      <c r="C5" s="7">
        <f>MIN('2_Escalas_Reglas'!E15-'2_Escalas_Reglas'!E15,'2_Escalas_Reglas'!E16-'2_Escalas_Reglas'!E16,'2_Escalas_Reglas'!E17-'2_Escalas_Reglas'!E17,'2_Escalas_Reglas'!E18-'2_Escalas_Reglas'!E18,'2_Escalas_Reglas'!E19-'2_Escalas_Reglas'!E19)</f>
        <v>0</v>
      </c>
      <c r="D5" s="7">
        <f>MIN('2_Escalas_Reglas'!E20-'2_Escalas_Reglas'!E20,'2_Escalas_Reglas'!E21-'2_Escalas_Reglas'!E21,'2_Escalas_Reglas'!E22-'2_Escalas_Reglas'!E22)</f>
        <v>0</v>
      </c>
      <c r="E5" s="7">
        <f>MIN('2_Escalas_Reglas'!E23-'2_Escalas_Reglas'!E23,'2_Escalas_Reglas'!E24-'2_Escalas_Reglas'!E24,'2_Escalas_Reglas'!E25-'2_Escalas_Reglas'!E25)</f>
        <v>0</v>
      </c>
      <c r="F5" s="7">
        <f>MIN('2_Escalas_Reglas'!E26-'2_Escalas_Reglas'!E26,'2_Escalas_Reglas'!E27-'2_Escalas_Reglas'!E27,'2_Escalas_Reglas'!E28-'2_Escalas_Reglas'!E28)</f>
        <v>0</v>
      </c>
      <c r="G5" s="7">
        <f>MIN('2_Escalas_Reglas'!E29-'2_Escalas_Reglas'!E29,'2_Escalas_Reglas'!E30-'2_Escalas_Reglas'!E30,'2_Escalas_Reglas'!E31-'2_Escalas_Reglas'!E31)</f>
        <v>0</v>
      </c>
      <c r="H5" s="7">
        <f>MIN('2_Escalas_Reglas'!E32-'2_Escalas_Reglas'!E32,'2_Escalas_Reglas'!E33-'2_Escalas_Reglas'!E33,'2_Escalas_Reglas'!E34-'2_Escalas_Reglas'!E34)</f>
        <v>0</v>
      </c>
      <c r="I5" s="7">
        <f>MIN('2_Escalas_Reglas'!E35-'2_Escalas_Reglas'!E35,'2_Escalas_Reglas'!E36-'2_Escalas_Reglas'!E36,'2_Escalas_Reglas'!E37-'2_Escalas_Reglas'!E37)</f>
        <v>0</v>
      </c>
    </row>
    <row r="6" spans="1:9" x14ac:dyDescent="0.55000000000000004">
      <c r="A6" s="10" t="s">
        <v>16</v>
      </c>
      <c r="B6" s="7" t="str">
        <f>A6&amp;"|"&amp;"LeSS"</f>
        <v>Nexus|LeSS</v>
      </c>
      <c r="C6" s="7">
        <f>MIN('2_Escalas_Reglas'!E15-'2_Escalas_Reglas'!F15,'2_Escalas_Reglas'!E16-'2_Escalas_Reglas'!F16,'2_Escalas_Reglas'!E17-'2_Escalas_Reglas'!F17,'2_Escalas_Reglas'!E18-'2_Escalas_Reglas'!F18,'2_Escalas_Reglas'!E19-'2_Escalas_Reglas'!F19)</f>
        <v>-2</v>
      </c>
      <c r="D6" s="7">
        <f>MIN('2_Escalas_Reglas'!E20-'2_Escalas_Reglas'!F20,'2_Escalas_Reglas'!E21-'2_Escalas_Reglas'!F21,'2_Escalas_Reglas'!E22-'2_Escalas_Reglas'!F22)</f>
        <v>-1</v>
      </c>
      <c r="E6" s="7">
        <f>MIN('2_Escalas_Reglas'!E23-'2_Escalas_Reglas'!F23,'2_Escalas_Reglas'!E24-'2_Escalas_Reglas'!F24,'2_Escalas_Reglas'!E25-'2_Escalas_Reglas'!F25)</f>
        <v>-1</v>
      </c>
      <c r="F6" s="7">
        <f>MIN('2_Escalas_Reglas'!E26-'2_Escalas_Reglas'!F26,'2_Escalas_Reglas'!E27-'2_Escalas_Reglas'!F27,'2_Escalas_Reglas'!E28-'2_Escalas_Reglas'!F28)</f>
        <v>-1</v>
      </c>
      <c r="G6" s="7">
        <f>MIN('2_Escalas_Reglas'!E29-'2_Escalas_Reglas'!F29,'2_Escalas_Reglas'!E30-'2_Escalas_Reglas'!F30,'2_Escalas_Reglas'!E31-'2_Escalas_Reglas'!F31)</f>
        <v>0</v>
      </c>
      <c r="H6" s="7">
        <f>MIN('2_Escalas_Reglas'!E32-'2_Escalas_Reglas'!F32,'2_Escalas_Reglas'!E33-'2_Escalas_Reglas'!F33,'2_Escalas_Reglas'!E34-'2_Escalas_Reglas'!F34)</f>
        <v>-1</v>
      </c>
      <c r="I6" s="7">
        <f>MIN('2_Escalas_Reglas'!E35-'2_Escalas_Reglas'!F35,'2_Escalas_Reglas'!E36-'2_Escalas_Reglas'!F36,'2_Escalas_Reglas'!E37-'2_Escalas_Reglas'!F37)</f>
        <v>-1</v>
      </c>
    </row>
    <row r="7" spans="1:9" x14ac:dyDescent="0.55000000000000004">
      <c r="A7" s="10" t="s">
        <v>16</v>
      </c>
      <c r="B7" s="7" t="str">
        <f>A7&amp;"|"&amp;"SAFe"</f>
        <v>Nexus|SAFe</v>
      </c>
      <c r="C7" s="7">
        <f>MIN('2_Escalas_Reglas'!E15-'2_Escalas_Reglas'!G15,'2_Escalas_Reglas'!E16-'2_Escalas_Reglas'!G16,'2_Escalas_Reglas'!E17-'2_Escalas_Reglas'!G17,'2_Escalas_Reglas'!E18-'2_Escalas_Reglas'!G18,'2_Escalas_Reglas'!E19-'2_Escalas_Reglas'!G19)</f>
        <v>-5</v>
      </c>
      <c r="D7" s="7">
        <f>MIN('2_Escalas_Reglas'!E20-'2_Escalas_Reglas'!G20,'2_Escalas_Reglas'!E21-'2_Escalas_Reglas'!G21,'2_Escalas_Reglas'!E22-'2_Escalas_Reglas'!G22)</f>
        <v>-4</v>
      </c>
      <c r="E7" s="7">
        <f>MIN('2_Escalas_Reglas'!E23-'2_Escalas_Reglas'!G23,'2_Escalas_Reglas'!E24-'2_Escalas_Reglas'!G24,'2_Escalas_Reglas'!E25-'2_Escalas_Reglas'!G25)</f>
        <v>-3</v>
      </c>
      <c r="F7" s="7">
        <f>MIN('2_Escalas_Reglas'!E26-'2_Escalas_Reglas'!G26,'2_Escalas_Reglas'!E27-'2_Escalas_Reglas'!G27,'2_Escalas_Reglas'!E28-'2_Escalas_Reglas'!G28)</f>
        <v>-3</v>
      </c>
      <c r="G7" s="7">
        <f>MIN('2_Escalas_Reglas'!E29-'2_Escalas_Reglas'!G29,'2_Escalas_Reglas'!E30-'2_Escalas_Reglas'!G30,'2_Escalas_Reglas'!E31-'2_Escalas_Reglas'!G31)</f>
        <v>-4</v>
      </c>
      <c r="H7" s="7">
        <f>MIN('2_Escalas_Reglas'!E32-'2_Escalas_Reglas'!G32,'2_Escalas_Reglas'!E33-'2_Escalas_Reglas'!G33,'2_Escalas_Reglas'!E34-'2_Escalas_Reglas'!G34)</f>
        <v>-1</v>
      </c>
      <c r="I7" s="7">
        <f>MIN('2_Escalas_Reglas'!E35-'2_Escalas_Reglas'!G35,'2_Escalas_Reglas'!E36-'2_Escalas_Reglas'!G36,'2_Escalas_Reglas'!E37-'2_Escalas_Reglas'!G37)</f>
        <v>-2</v>
      </c>
    </row>
    <row r="8" spans="1:9" x14ac:dyDescent="0.55000000000000004">
      <c r="A8" s="10" t="s">
        <v>16</v>
      </c>
      <c r="B8" s="7" t="str">
        <f>A8&amp;"|"&amp;"Disciplined Agile"</f>
        <v>Nexus|Disciplined Agile</v>
      </c>
      <c r="C8" s="7">
        <f>MIN('2_Escalas_Reglas'!E15-'2_Escalas_Reglas'!H15,'2_Escalas_Reglas'!E16-'2_Escalas_Reglas'!H16,'2_Escalas_Reglas'!E17-'2_Escalas_Reglas'!H17,'2_Escalas_Reglas'!E18-'2_Escalas_Reglas'!H18,'2_Escalas_Reglas'!E19-'2_Escalas_Reglas'!H19)</f>
        <v>-3</v>
      </c>
      <c r="D8" s="7">
        <f>MIN('2_Escalas_Reglas'!E20-'2_Escalas_Reglas'!H20,'2_Escalas_Reglas'!E21-'2_Escalas_Reglas'!H21,'2_Escalas_Reglas'!E22-'2_Escalas_Reglas'!H22)</f>
        <v>-5</v>
      </c>
      <c r="E8" s="7">
        <f>MIN('2_Escalas_Reglas'!E23-'2_Escalas_Reglas'!H23,'2_Escalas_Reglas'!E24-'2_Escalas_Reglas'!H24,'2_Escalas_Reglas'!E25-'2_Escalas_Reglas'!H25)</f>
        <v>-2</v>
      </c>
      <c r="F8" s="7">
        <f>MIN('2_Escalas_Reglas'!E26-'2_Escalas_Reglas'!H26,'2_Escalas_Reglas'!E27-'2_Escalas_Reglas'!H27,'2_Escalas_Reglas'!E28-'2_Escalas_Reglas'!H28)</f>
        <v>-2</v>
      </c>
      <c r="G8" s="7">
        <f>MIN('2_Escalas_Reglas'!E29-'2_Escalas_Reglas'!H29,'2_Escalas_Reglas'!E30-'2_Escalas_Reglas'!H30,'2_Escalas_Reglas'!E31-'2_Escalas_Reglas'!H31)</f>
        <v>-2</v>
      </c>
      <c r="H8" s="7">
        <f>MIN('2_Escalas_Reglas'!E32-'2_Escalas_Reglas'!H32,'2_Escalas_Reglas'!E33-'2_Escalas_Reglas'!H33,'2_Escalas_Reglas'!E34-'2_Escalas_Reglas'!H34)</f>
        <v>-4</v>
      </c>
      <c r="I8" s="7">
        <f>MIN('2_Escalas_Reglas'!E35-'2_Escalas_Reglas'!H35,'2_Escalas_Reglas'!E36-'2_Escalas_Reglas'!H36,'2_Escalas_Reglas'!E37-'2_Escalas_Reglas'!H37)</f>
        <v>-5</v>
      </c>
    </row>
    <row r="9" spans="1:9" x14ac:dyDescent="0.55000000000000004">
      <c r="A9" s="10" t="s">
        <v>17</v>
      </c>
      <c r="B9" s="7" t="str">
        <f>A9&amp;"|"&amp;"Nexus"</f>
        <v>LeSS|Nexus</v>
      </c>
      <c r="C9" s="7">
        <f>MIN('2_Escalas_Reglas'!F15-'2_Escalas_Reglas'!E15,'2_Escalas_Reglas'!F16-'2_Escalas_Reglas'!E16,'2_Escalas_Reglas'!F17-'2_Escalas_Reglas'!E17,'2_Escalas_Reglas'!F18-'2_Escalas_Reglas'!E18,'2_Escalas_Reglas'!F19-'2_Escalas_Reglas'!E19)</f>
        <v>0</v>
      </c>
      <c r="D9" s="7">
        <f>MIN('2_Escalas_Reglas'!F20-'2_Escalas_Reglas'!E20,'2_Escalas_Reglas'!F21-'2_Escalas_Reglas'!E21,'2_Escalas_Reglas'!F22-'2_Escalas_Reglas'!E22)</f>
        <v>0</v>
      </c>
      <c r="E9" s="7">
        <f>MIN('2_Escalas_Reglas'!F23-'2_Escalas_Reglas'!E23,'2_Escalas_Reglas'!F24-'2_Escalas_Reglas'!E24,'2_Escalas_Reglas'!F25-'2_Escalas_Reglas'!E25)</f>
        <v>-1</v>
      </c>
      <c r="F9" s="7">
        <f>MIN('2_Escalas_Reglas'!F26-'2_Escalas_Reglas'!E26,'2_Escalas_Reglas'!F27-'2_Escalas_Reglas'!E27,'2_Escalas_Reglas'!F28-'2_Escalas_Reglas'!E28)</f>
        <v>-1</v>
      </c>
      <c r="G9" s="7">
        <f>MIN('2_Escalas_Reglas'!F29-'2_Escalas_Reglas'!E29,'2_Escalas_Reglas'!F30-'2_Escalas_Reglas'!E30,'2_Escalas_Reglas'!F31-'2_Escalas_Reglas'!E31)</f>
        <v>0</v>
      </c>
      <c r="H9" s="7">
        <f>MIN('2_Escalas_Reglas'!F32-'2_Escalas_Reglas'!E32,'2_Escalas_Reglas'!F33-'2_Escalas_Reglas'!E33,'2_Escalas_Reglas'!F34-'2_Escalas_Reglas'!E34)</f>
        <v>0</v>
      </c>
      <c r="I9" s="7">
        <f>MIN('2_Escalas_Reglas'!F35-'2_Escalas_Reglas'!E35,'2_Escalas_Reglas'!F36-'2_Escalas_Reglas'!E36,'2_Escalas_Reglas'!F37-'2_Escalas_Reglas'!E37)</f>
        <v>0</v>
      </c>
    </row>
    <row r="10" spans="1:9" x14ac:dyDescent="0.55000000000000004">
      <c r="A10" s="10" t="s">
        <v>17</v>
      </c>
      <c r="B10" s="7" t="str">
        <f>A10&amp;"|"&amp;"LeSS"</f>
        <v>LeSS|LeSS</v>
      </c>
      <c r="C10" s="7">
        <f>MIN('2_Escalas_Reglas'!F15-'2_Escalas_Reglas'!F15,'2_Escalas_Reglas'!F16-'2_Escalas_Reglas'!F16,'2_Escalas_Reglas'!F17-'2_Escalas_Reglas'!F17,'2_Escalas_Reglas'!F18-'2_Escalas_Reglas'!F18,'2_Escalas_Reglas'!F19-'2_Escalas_Reglas'!F19)</f>
        <v>0</v>
      </c>
      <c r="D10" s="7">
        <f>MIN('2_Escalas_Reglas'!F20-'2_Escalas_Reglas'!F20,'2_Escalas_Reglas'!F21-'2_Escalas_Reglas'!F21,'2_Escalas_Reglas'!F22-'2_Escalas_Reglas'!F22)</f>
        <v>0</v>
      </c>
      <c r="E10" s="7">
        <f>MIN('2_Escalas_Reglas'!F23-'2_Escalas_Reglas'!F23,'2_Escalas_Reglas'!F24-'2_Escalas_Reglas'!F24,'2_Escalas_Reglas'!F25-'2_Escalas_Reglas'!F25)</f>
        <v>0</v>
      </c>
      <c r="F10" s="7">
        <f>MIN('2_Escalas_Reglas'!F26-'2_Escalas_Reglas'!F26,'2_Escalas_Reglas'!F27-'2_Escalas_Reglas'!F27,'2_Escalas_Reglas'!F28-'2_Escalas_Reglas'!F28)</f>
        <v>0</v>
      </c>
      <c r="G10" s="7">
        <f>MIN('2_Escalas_Reglas'!F29-'2_Escalas_Reglas'!F29,'2_Escalas_Reglas'!F30-'2_Escalas_Reglas'!F30,'2_Escalas_Reglas'!F31-'2_Escalas_Reglas'!F31)</f>
        <v>0</v>
      </c>
      <c r="H10" s="7">
        <f>MIN('2_Escalas_Reglas'!F32-'2_Escalas_Reglas'!F32,'2_Escalas_Reglas'!F33-'2_Escalas_Reglas'!F33,'2_Escalas_Reglas'!F34-'2_Escalas_Reglas'!F34)</f>
        <v>0</v>
      </c>
      <c r="I10" s="7">
        <f>MIN('2_Escalas_Reglas'!F35-'2_Escalas_Reglas'!F35,'2_Escalas_Reglas'!F36-'2_Escalas_Reglas'!F36,'2_Escalas_Reglas'!F37-'2_Escalas_Reglas'!F37)</f>
        <v>0</v>
      </c>
    </row>
    <row r="11" spans="1:9" x14ac:dyDescent="0.55000000000000004">
      <c r="A11" s="10" t="s">
        <v>17</v>
      </c>
      <c r="B11" s="7" t="str">
        <f>A11&amp;"|"&amp;"SAFe"</f>
        <v>LeSS|SAFe</v>
      </c>
      <c r="C11" s="7">
        <f>MIN('2_Escalas_Reglas'!F15-'2_Escalas_Reglas'!G15,'2_Escalas_Reglas'!F16-'2_Escalas_Reglas'!G16,'2_Escalas_Reglas'!F17-'2_Escalas_Reglas'!G17,'2_Escalas_Reglas'!F18-'2_Escalas_Reglas'!G18,'2_Escalas_Reglas'!F19-'2_Escalas_Reglas'!G19)</f>
        <v>-3</v>
      </c>
      <c r="D11" s="7">
        <f>MIN('2_Escalas_Reglas'!F20-'2_Escalas_Reglas'!G20,'2_Escalas_Reglas'!F21-'2_Escalas_Reglas'!G21,'2_Escalas_Reglas'!F22-'2_Escalas_Reglas'!G22)</f>
        <v>-3</v>
      </c>
      <c r="E11" s="7">
        <f>MIN('2_Escalas_Reglas'!F23-'2_Escalas_Reglas'!G23,'2_Escalas_Reglas'!F24-'2_Escalas_Reglas'!G24,'2_Escalas_Reglas'!F25-'2_Escalas_Reglas'!G25)</f>
        <v>-3</v>
      </c>
      <c r="F11" s="7">
        <f>MIN('2_Escalas_Reglas'!F26-'2_Escalas_Reglas'!G26,'2_Escalas_Reglas'!F27-'2_Escalas_Reglas'!G27,'2_Escalas_Reglas'!F28-'2_Escalas_Reglas'!G28)</f>
        <v>-4</v>
      </c>
      <c r="G11" s="7">
        <f>MIN('2_Escalas_Reglas'!F29-'2_Escalas_Reglas'!G29,'2_Escalas_Reglas'!F30-'2_Escalas_Reglas'!G30,'2_Escalas_Reglas'!F31-'2_Escalas_Reglas'!G31)</f>
        <v>-4</v>
      </c>
      <c r="H11" s="7">
        <f>MIN('2_Escalas_Reglas'!F32-'2_Escalas_Reglas'!G32,'2_Escalas_Reglas'!F33-'2_Escalas_Reglas'!G33,'2_Escalas_Reglas'!F34-'2_Escalas_Reglas'!G34)</f>
        <v>-1</v>
      </c>
      <c r="I11" s="7">
        <f>MIN('2_Escalas_Reglas'!F35-'2_Escalas_Reglas'!G35,'2_Escalas_Reglas'!F36-'2_Escalas_Reglas'!G36,'2_Escalas_Reglas'!F37-'2_Escalas_Reglas'!G37)</f>
        <v>-1</v>
      </c>
    </row>
    <row r="12" spans="1:9" x14ac:dyDescent="0.55000000000000004">
      <c r="A12" s="10" t="s">
        <v>17</v>
      </c>
      <c r="B12" s="7" t="str">
        <f>A12&amp;"|"&amp;"Disciplined Agile"</f>
        <v>LeSS|Disciplined Agile</v>
      </c>
      <c r="C12" s="7">
        <f>MIN('2_Escalas_Reglas'!F15-'2_Escalas_Reglas'!H15,'2_Escalas_Reglas'!F16-'2_Escalas_Reglas'!H16,'2_Escalas_Reglas'!F17-'2_Escalas_Reglas'!H17,'2_Escalas_Reglas'!F18-'2_Escalas_Reglas'!H18,'2_Escalas_Reglas'!F19-'2_Escalas_Reglas'!H19)</f>
        <v>-1</v>
      </c>
      <c r="D12" s="7">
        <f>MIN('2_Escalas_Reglas'!F20-'2_Escalas_Reglas'!H20,'2_Escalas_Reglas'!F21-'2_Escalas_Reglas'!H21,'2_Escalas_Reglas'!F22-'2_Escalas_Reglas'!H22)</f>
        <v>-5</v>
      </c>
      <c r="E12" s="7">
        <f>MIN('2_Escalas_Reglas'!F23-'2_Escalas_Reglas'!H23,'2_Escalas_Reglas'!F24-'2_Escalas_Reglas'!H24,'2_Escalas_Reglas'!F25-'2_Escalas_Reglas'!H25)</f>
        <v>-1</v>
      </c>
      <c r="F12" s="7">
        <f>MIN('2_Escalas_Reglas'!F26-'2_Escalas_Reglas'!H26,'2_Escalas_Reglas'!F27-'2_Escalas_Reglas'!H27,'2_Escalas_Reglas'!F28-'2_Escalas_Reglas'!H28)</f>
        <v>-3</v>
      </c>
      <c r="G12" s="7">
        <f>MIN('2_Escalas_Reglas'!F29-'2_Escalas_Reglas'!H29,'2_Escalas_Reglas'!F30-'2_Escalas_Reglas'!H30,'2_Escalas_Reglas'!F31-'2_Escalas_Reglas'!H31)</f>
        <v>-2</v>
      </c>
      <c r="H12" s="7">
        <f>MIN('2_Escalas_Reglas'!F32-'2_Escalas_Reglas'!H32,'2_Escalas_Reglas'!F33-'2_Escalas_Reglas'!H33,'2_Escalas_Reglas'!F34-'2_Escalas_Reglas'!H34)</f>
        <v>-3</v>
      </c>
      <c r="I12" s="7">
        <f>MIN('2_Escalas_Reglas'!F35-'2_Escalas_Reglas'!H35,'2_Escalas_Reglas'!F36-'2_Escalas_Reglas'!H36,'2_Escalas_Reglas'!F37-'2_Escalas_Reglas'!H37)</f>
        <v>-4</v>
      </c>
    </row>
    <row r="13" spans="1:9" x14ac:dyDescent="0.55000000000000004">
      <c r="A13" s="10" t="s">
        <v>18</v>
      </c>
      <c r="B13" s="7" t="str">
        <f>A13&amp;"|"&amp;"Nexus"</f>
        <v>SAFe|Nexus</v>
      </c>
      <c r="C13" s="7">
        <f>MIN('2_Escalas_Reglas'!G15-'2_Escalas_Reglas'!E15,'2_Escalas_Reglas'!G16-'2_Escalas_Reglas'!E16,'2_Escalas_Reglas'!G17-'2_Escalas_Reglas'!E17,'2_Escalas_Reglas'!G18-'2_Escalas_Reglas'!E18,'2_Escalas_Reglas'!G19-'2_Escalas_Reglas'!E19)</f>
        <v>-2</v>
      </c>
      <c r="D13" s="7">
        <f>MIN('2_Escalas_Reglas'!G20-'2_Escalas_Reglas'!E20,'2_Escalas_Reglas'!G21-'2_Escalas_Reglas'!E21,'2_Escalas_Reglas'!G22-'2_Escalas_Reglas'!E22)</f>
        <v>-2</v>
      </c>
      <c r="E13" s="7">
        <f>MIN('2_Escalas_Reglas'!G23-'2_Escalas_Reglas'!E23,'2_Escalas_Reglas'!G24-'2_Escalas_Reglas'!E24,'2_Escalas_Reglas'!G25-'2_Escalas_Reglas'!E25)</f>
        <v>-1</v>
      </c>
      <c r="F13" s="7">
        <f>MIN('2_Escalas_Reglas'!G26-'2_Escalas_Reglas'!E26,'2_Escalas_Reglas'!G27-'2_Escalas_Reglas'!E27,'2_Escalas_Reglas'!G28-'2_Escalas_Reglas'!E28)</f>
        <v>-2</v>
      </c>
      <c r="G13" s="7">
        <f>MIN('2_Escalas_Reglas'!G29-'2_Escalas_Reglas'!E29,'2_Escalas_Reglas'!G30-'2_Escalas_Reglas'!E30,'2_Escalas_Reglas'!G31-'2_Escalas_Reglas'!E31)</f>
        <v>-3</v>
      </c>
      <c r="H13" s="7">
        <f>MIN('2_Escalas_Reglas'!G32-'2_Escalas_Reglas'!E32,'2_Escalas_Reglas'!G33-'2_Escalas_Reglas'!E33,'2_Escalas_Reglas'!G34-'2_Escalas_Reglas'!E34)</f>
        <v>0</v>
      </c>
      <c r="I13" s="7">
        <f>MIN('2_Escalas_Reglas'!G35-'2_Escalas_Reglas'!E35,'2_Escalas_Reglas'!G36-'2_Escalas_Reglas'!E36,'2_Escalas_Reglas'!G37-'2_Escalas_Reglas'!E37)</f>
        <v>-1</v>
      </c>
    </row>
    <row r="14" spans="1:9" x14ac:dyDescent="0.55000000000000004">
      <c r="A14" s="10" t="s">
        <v>18</v>
      </c>
      <c r="B14" s="7" t="str">
        <f>A14&amp;"|"&amp;"LeSS"</f>
        <v>SAFe|LeSS</v>
      </c>
      <c r="C14" s="7">
        <f>MIN('2_Escalas_Reglas'!G15-'2_Escalas_Reglas'!F15,'2_Escalas_Reglas'!G16-'2_Escalas_Reglas'!F16,'2_Escalas_Reglas'!G17-'2_Escalas_Reglas'!F17,'2_Escalas_Reglas'!G18-'2_Escalas_Reglas'!F18,'2_Escalas_Reglas'!G19-'2_Escalas_Reglas'!F19)</f>
        <v>-3</v>
      </c>
      <c r="D14" s="7">
        <f>MIN('2_Escalas_Reglas'!G20-'2_Escalas_Reglas'!F20,'2_Escalas_Reglas'!G21-'2_Escalas_Reglas'!F21,'2_Escalas_Reglas'!G22-'2_Escalas_Reglas'!F22)</f>
        <v>-2</v>
      </c>
      <c r="E14" s="7">
        <f>MIN('2_Escalas_Reglas'!G23-'2_Escalas_Reglas'!F23,'2_Escalas_Reglas'!G24-'2_Escalas_Reglas'!F24,'2_Escalas_Reglas'!G25-'2_Escalas_Reglas'!F25)</f>
        <v>-2</v>
      </c>
      <c r="F14" s="7">
        <f>MIN('2_Escalas_Reglas'!G26-'2_Escalas_Reglas'!F26,'2_Escalas_Reglas'!G27-'2_Escalas_Reglas'!F27,'2_Escalas_Reglas'!G28-'2_Escalas_Reglas'!F28)</f>
        <v>-3</v>
      </c>
      <c r="G14" s="7">
        <f>MIN('2_Escalas_Reglas'!G29-'2_Escalas_Reglas'!F29,'2_Escalas_Reglas'!G30-'2_Escalas_Reglas'!F30,'2_Escalas_Reglas'!G31-'2_Escalas_Reglas'!F31)</f>
        <v>-3</v>
      </c>
      <c r="H14" s="7">
        <f>MIN('2_Escalas_Reglas'!G32-'2_Escalas_Reglas'!F32,'2_Escalas_Reglas'!G33-'2_Escalas_Reglas'!F33,'2_Escalas_Reglas'!G34-'2_Escalas_Reglas'!F34)</f>
        <v>-1</v>
      </c>
      <c r="I14" s="7">
        <f>MIN('2_Escalas_Reglas'!G35-'2_Escalas_Reglas'!F35,'2_Escalas_Reglas'!G36-'2_Escalas_Reglas'!F36,'2_Escalas_Reglas'!G37-'2_Escalas_Reglas'!F37)</f>
        <v>-1</v>
      </c>
    </row>
    <row r="15" spans="1:9" x14ac:dyDescent="0.55000000000000004">
      <c r="A15" s="10" t="s">
        <v>18</v>
      </c>
      <c r="B15" s="7" t="str">
        <f>A15&amp;"|"&amp;"SAFe"</f>
        <v>SAFe|SAFe</v>
      </c>
      <c r="C15" s="7">
        <f>MIN('2_Escalas_Reglas'!G15-'2_Escalas_Reglas'!G15,'2_Escalas_Reglas'!G16-'2_Escalas_Reglas'!G16,'2_Escalas_Reglas'!G17-'2_Escalas_Reglas'!G17,'2_Escalas_Reglas'!G18-'2_Escalas_Reglas'!G18,'2_Escalas_Reglas'!G19-'2_Escalas_Reglas'!G19)</f>
        <v>0</v>
      </c>
      <c r="D15" s="7">
        <f>MIN('2_Escalas_Reglas'!G20-'2_Escalas_Reglas'!G20,'2_Escalas_Reglas'!G21-'2_Escalas_Reglas'!G21,'2_Escalas_Reglas'!G22-'2_Escalas_Reglas'!G22)</f>
        <v>0</v>
      </c>
      <c r="E15" s="7">
        <f>MIN('2_Escalas_Reglas'!G23-'2_Escalas_Reglas'!G23,'2_Escalas_Reglas'!G24-'2_Escalas_Reglas'!G24,'2_Escalas_Reglas'!G25-'2_Escalas_Reglas'!G25)</f>
        <v>0</v>
      </c>
      <c r="F15" s="7">
        <f>MIN('2_Escalas_Reglas'!G26-'2_Escalas_Reglas'!G26,'2_Escalas_Reglas'!G27-'2_Escalas_Reglas'!G27,'2_Escalas_Reglas'!G28-'2_Escalas_Reglas'!G28)</f>
        <v>0</v>
      </c>
      <c r="G15" s="7">
        <f>MIN('2_Escalas_Reglas'!G29-'2_Escalas_Reglas'!G29,'2_Escalas_Reglas'!G30-'2_Escalas_Reglas'!G30,'2_Escalas_Reglas'!G31-'2_Escalas_Reglas'!G31)</f>
        <v>0</v>
      </c>
      <c r="H15" s="7">
        <f>MIN('2_Escalas_Reglas'!G32-'2_Escalas_Reglas'!G32,'2_Escalas_Reglas'!G33-'2_Escalas_Reglas'!G33,'2_Escalas_Reglas'!G34-'2_Escalas_Reglas'!G34)</f>
        <v>0</v>
      </c>
      <c r="I15" s="7">
        <f>MIN('2_Escalas_Reglas'!G35-'2_Escalas_Reglas'!G35,'2_Escalas_Reglas'!G36-'2_Escalas_Reglas'!G36,'2_Escalas_Reglas'!G37-'2_Escalas_Reglas'!G37)</f>
        <v>0</v>
      </c>
    </row>
    <row r="16" spans="1:9" x14ac:dyDescent="0.55000000000000004">
      <c r="A16" s="10" t="s">
        <v>18</v>
      </c>
      <c r="B16" s="7" t="str">
        <f>A16&amp;"|"&amp;"Disciplined Agile"</f>
        <v>SAFe|Disciplined Agile</v>
      </c>
      <c r="C16" s="7">
        <f>MIN('2_Escalas_Reglas'!G15-'2_Escalas_Reglas'!H15,'2_Escalas_Reglas'!G16-'2_Escalas_Reglas'!H16,'2_Escalas_Reglas'!G17-'2_Escalas_Reglas'!H17,'2_Escalas_Reglas'!G18-'2_Escalas_Reglas'!H18,'2_Escalas_Reglas'!G19-'2_Escalas_Reglas'!H19)</f>
        <v>-4</v>
      </c>
      <c r="D16" s="7">
        <f>MIN('2_Escalas_Reglas'!G20-'2_Escalas_Reglas'!H20,'2_Escalas_Reglas'!G21-'2_Escalas_Reglas'!H21,'2_Escalas_Reglas'!G22-'2_Escalas_Reglas'!H22)</f>
        <v>-3</v>
      </c>
      <c r="E16" s="7">
        <f>MIN('2_Escalas_Reglas'!G23-'2_Escalas_Reglas'!H23,'2_Escalas_Reglas'!G24-'2_Escalas_Reglas'!H24,'2_Escalas_Reglas'!G25-'2_Escalas_Reglas'!H25)</f>
        <v>-3</v>
      </c>
      <c r="F16" s="7">
        <f>MIN('2_Escalas_Reglas'!G26-'2_Escalas_Reglas'!H26,'2_Escalas_Reglas'!G27-'2_Escalas_Reglas'!H27,'2_Escalas_Reglas'!G28-'2_Escalas_Reglas'!H28)</f>
        <v>-2</v>
      </c>
      <c r="G16" s="7">
        <f>MIN('2_Escalas_Reglas'!G29-'2_Escalas_Reglas'!H29,'2_Escalas_Reglas'!G30-'2_Escalas_Reglas'!H30,'2_Escalas_Reglas'!G31-'2_Escalas_Reglas'!H31)</f>
        <v>-3</v>
      </c>
      <c r="H16" s="7">
        <f>MIN('2_Escalas_Reglas'!G32-'2_Escalas_Reglas'!H32,'2_Escalas_Reglas'!G33-'2_Escalas_Reglas'!H33,'2_Escalas_Reglas'!G34-'2_Escalas_Reglas'!H34)</f>
        <v>-4</v>
      </c>
      <c r="I16" s="7">
        <f>MIN('2_Escalas_Reglas'!G35-'2_Escalas_Reglas'!H35,'2_Escalas_Reglas'!G36-'2_Escalas_Reglas'!H36,'2_Escalas_Reglas'!G37-'2_Escalas_Reglas'!H37)</f>
        <v>-3</v>
      </c>
    </row>
    <row r="17" spans="1:9" x14ac:dyDescent="0.55000000000000004">
      <c r="A17" s="10" t="s">
        <v>202</v>
      </c>
      <c r="B17" s="7" t="str">
        <f>A17&amp;"|"&amp;"Nexus"</f>
        <v>Disciplined Agile|Nexus</v>
      </c>
      <c r="C17" s="7">
        <f>MIN('2_Escalas_Reglas'!H15-'2_Escalas_Reglas'!E15,'2_Escalas_Reglas'!H16-'2_Escalas_Reglas'!E16,'2_Escalas_Reglas'!H17-'2_Escalas_Reglas'!E17,'2_Escalas_Reglas'!H18-'2_Escalas_Reglas'!E18,'2_Escalas_Reglas'!H19-'2_Escalas_Reglas'!E19)</f>
        <v>-1</v>
      </c>
      <c r="D17" s="7">
        <f>MIN('2_Escalas_Reglas'!H20-'2_Escalas_Reglas'!E20,'2_Escalas_Reglas'!H21-'2_Escalas_Reglas'!E21,'2_Escalas_Reglas'!H22-'2_Escalas_Reglas'!E22)</f>
        <v>-2</v>
      </c>
      <c r="E17" s="7">
        <f>MIN('2_Escalas_Reglas'!H23-'2_Escalas_Reglas'!E23,'2_Escalas_Reglas'!H24-'2_Escalas_Reglas'!E24,'2_Escalas_Reglas'!H25-'2_Escalas_Reglas'!E25)</f>
        <v>-1</v>
      </c>
      <c r="F17" s="7">
        <f>MIN('2_Escalas_Reglas'!H26-'2_Escalas_Reglas'!E26,'2_Escalas_Reglas'!H27-'2_Escalas_Reglas'!E27,'2_Escalas_Reglas'!H28-'2_Escalas_Reglas'!E28)</f>
        <v>0</v>
      </c>
      <c r="G17" s="7">
        <f>MIN('2_Escalas_Reglas'!H29-'2_Escalas_Reglas'!E29,'2_Escalas_Reglas'!H30-'2_Escalas_Reglas'!E30,'2_Escalas_Reglas'!H31-'2_Escalas_Reglas'!E31)</f>
        <v>0</v>
      </c>
      <c r="H17" s="7">
        <f>MIN('2_Escalas_Reglas'!H32-'2_Escalas_Reglas'!E32,'2_Escalas_Reglas'!H33-'2_Escalas_Reglas'!E33,'2_Escalas_Reglas'!H34-'2_Escalas_Reglas'!E34)</f>
        <v>-1</v>
      </c>
      <c r="I17" s="7">
        <f>MIN('2_Escalas_Reglas'!H35-'2_Escalas_Reglas'!E35,'2_Escalas_Reglas'!H36-'2_Escalas_Reglas'!E36,'2_Escalas_Reglas'!H37-'2_Escalas_Reglas'!E37)</f>
        <v>-2</v>
      </c>
    </row>
    <row r="18" spans="1:9" x14ac:dyDescent="0.55000000000000004">
      <c r="A18" s="10" t="s">
        <v>202</v>
      </c>
      <c r="B18" s="7" t="str">
        <f>A18&amp;"|"&amp;"LeSS"</f>
        <v>Disciplined Agile|LeSS</v>
      </c>
      <c r="C18" s="7">
        <f>MIN('2_Escalas_Reglas'!H15-'2_Escalas_Reglas'!F15,'2_Escalas_Reglas'!H16-'2_Escalas_Reglas'!F16,'2_Escalas_Reglas'!H17-'2_Escalas_Reglas'!F17,'2_Escalas_Reglas'!H18-'2_Escalas_Reglas'!F18,'2_Escalas_Reglas'!H19-'2_Escalas_Reglas'!F19)</f>
        <v>-1</v>
      </c>
      <c r="D18" s="7">
        <f>MIN('2_Escalas_Reglas'!H20-'2_Escalas_Reglas'!F20,'2_Escalas_Reglas'!H21-'2_Escalas_Reglas'!F21,'2_Escalas_Reglas'!H22-'2_Escalas_Reglas'!F22)</f>
        <v>-2</v>
      </c>
      <c r="E18" s="7">
        <f>MIN('2_Escalas_Reglas'!H23-'2_Escalas_Reglas'!F23,'2_Escalas_Reglas'!H24-'2_Escalas_Reglas'!F24,'2_Escalas_Reglas'!H25-'2_Escalas_Reglas'!F25)</f>
        <v>0</v>
      </c>
      <c r="F18" s="7">
        <f>MIN('2_Escalas_Reglas'!H26-'2_Escalas_Reglas'!F26,'2_Escalas_Reglas'!H27-'2_Escalas_Reglas'!F27,'2_Escalas_Reglas'!H28-'2_Escalas_Reglas'!F28)</f>
        <v>-1</v>
      </c>
      <c r="G18" s="7">
        <f>MIN('2_Escalas_Reglas'!H29-'2_Escalas_Reglas'!F29,'2_Escalas_Reglas'!H30-'2_Escalas_Reglas'!F30,'2_Escalas_Reglas'!H31-'2_Escalas_Reglas'!F31)</f>
        <v>0</v>
      </c>
      <c r="H18" s="7">
        <f>MIN('2_Escalas_Reglas'!H32-'2_Escalas_Reglas'!F32,'2_Escalas_Reglas'!H33-'2_Escalas_Reglas'!F33,'2_Escalas_Reglas'!H34-'2_Escalas_Reglas'!F34)</f>
        <v>-1</v>
      </c>
      <c r="I18" s="7">
        <f>MIN('2_Escalas_Reglas'!H35-'2_Escalas_Reglas'!F35,'2_Escalas_Reglas'!H36-'2_Escalas_Reglas'!F36,'2_Escalas_Reglas'!H37-'2_Escalas_Reglas'!F37)</f>
        <v>-2</v>
      </c>
    </row>
    <row r="19" spans="1:9" x14ac:dyDescent="0.55000000000000004">
      <c r="A19" s="10" t="s">
        <v>202</v>
      </c>
      <c r="B19" s="7" t="str">
        <f>A19&amp;"|"&amp;"SAFe"</f>
        <v>Disciplined Agile|SAFe</v>
      </c>
      <c r="C19" s="7">
        <f>MIN('2_Escalas_Reglas'!H15-'2_Escalas_Reglas'!G15,'2_Escalas_Reglas'!H16-'2_Escalas_Reglas'!G16,'2_Escalas_Reglas'!H17-'2_Escalas_Reglas'!G17,'2_Escalas_Reglas'!H18-'2_Escalas_Reglas'!G18,'2_Escalas_Reglas'!H19-'2_Escalas_Reglas'!G19)</f>
        <v>-2</v>
      </c>
      <c r="D19" s="7">
        <f>MIN('2_Escalas_Reglas'!H20-'2_Escalas_Reglas'!G20,'2_Escalas_Reglas'!H21-'2_Escalas_Reglas'!G21,'2_Escalas_Reglas'!H22-'2_Escalas_Reglas'!G22)</f>
        <v>-2</v>
      </c>
      <c r="E19" s="7">
        <f>MIN('2_Escalas_Reglas'!H23-'2_Escalas_Reglas'!G23,'2_Escalas_Reglas'!H24-'2_Escalas_Reglas'!G24,'2_Escalas_Reglas'!H25-'2_Escalas_Reglas'!G25)</f>
        <v>-2</v>
      </c>
      <c r="F19" s="7">
        <f>MIN('2_Escalas_Reglas'!H26-'2_Escalas_Reglas'!G26,'2_Escalas_Reglas'!H27-'2_Escalas_Reglas'!G27,'2_Escalas_Reglas'!H28-'2_Escalas_Reglas'!G28)</f>
        <v>-1</v>
      </c>
      <c r="G19" s="7">
        <f>MIN('2_Escalas_Reglas'!H29-'2_Escalas_Reglas'!G29,'2_Escalas_Reglas'!H30-'2_Escalas_Reglas'!G30,'2_Escalas_Reglas'!H31-'2_Escalas_Reglas'!G31)</f>
        <v>-2</v>
      </c>
      <c r="H19" s="7">
        <f>MIN('2_Escalas_Reglas'!H32-'2_Escalas_Reglas'!G32,'2_Escalas_Reglas'!H33-'2_Escalas_Reglas'!G33,'2_Escalas_Reglas'!H34-'2_Escalas_Reglas'!G34)</f>
        <v>-2</v>
      </c>
      <c r="I19" s="7">
        <f>MIN('2_Escalas_Reglas'!H35-'2_Escalas_Reglas'!G35,'2_Escalas_Reglas'!H36-'2_Escalas_Reglas'!G36,'2_Escalas_Reglas'!H37-'2_Escalas_Reglas'!G37)</f>
        <v>-1</v>
      </c>
    </row>
    <row r="20" spans="1:9" x14ac:dyDescent="0.55000000000000004">
      <c r="A20" s="10" t="s">
        <v>202</v>
      </c>
      <c r="B20" s="7" t="str">
        <f>A20&amp;"|"&amp;"Disciplined Agile"</f>
        <v>Disciplined Agile|Disciplined Agile</v>
      </c>
      <c r="C20" s="7">
        <f>MIN('2_Escalas_Reglas'!H15-'2_Escalas_Reglas'!H15,'2_Escalas_Reglas'!H16-'2_Escalas_Reglas'!H16,'2_Escalas_Reglas'!H17-'2_Escalas_Reglas'!H17,'2_Escalas_Reglas'!H18-'2_Escalas_Reglas'!H18,'2_Escalas_Reglas'!H19-'2_Escalas_Reglas'!H19)</f>
        <v>0</v>
      </c>
      <c r="D20" s="7">
        <f>MIN('2_Escalas_Reglas'!H20-'2_Escalas_Reglas'!H20,'2_Escalas_Reglas'!H21-'2_Escalas_Reglas'!H21,'2_Escalas_Reglas'!H22-'2_Escalas_Reglas'!H22)</f>
        <v>0</v>
      </c>
      <c r="E20" s="7">
        <f>MIN('2_Escalas_Reglas'!H23-'2_Escalas_Reglas'!H23,'2_Escalas_Reglas'!H24-'2_Escalas_Reglas'!H24,'2_Escalas_Reglas'!H25-'2_Escalas_Reglas'!H25)</f>
        <v>0</v>
      </c>
      <c r="F20" s="7">
        <f>MIN('2_Escalas_Reglas'!H26-'2_Escalas_Reglas'!H26,'2_Escalas_Reglas'!H27-'2_Escalas_Reglas'!H27,'2_Escalas_Reglas'!H28-'2_Escalas_Reglas'!H28)</f>
        <v>0</v>
      </c>
      <c r="G20" s="7">
        <f>MIN('2_Escalas_Reglas'!H29-'2_Escalas_Reglas'!H29,'2_Escalas_Reglas'!H30-'2_Escalas_Reglas'!H30,'2_Escalas_Reglas'!H31-'2_Escalas_Reglas'!H31)</f>
        <v>0</v>
      </c>
      <c r="H20" s="7">
        <f>MIN('2_Escalas_Reglas'!H32-'2_Escalas_Reglas'!H32,'2_Escalas_Reglas'!H33-'2_Escalas_Reglas'!H33,'2_Escalas_Reglas'!H34-'2_Escalas_Reglas'!H34)</f>
        <v>0</v>
      </c>
      <c r="I20" s="7">
        <f>MIN('2_Escalas_Reglas'!H35-'2_Escalas_Reglas'!H35,'2_Escalas_Reglas'!H36-'2_Escalas_Reglas'!H36,'2_Escalas_Reglas'!H37-'2_Escalas_Reglas'!H37)</f>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203</v>
      </c>
    </row>
    <row r="2" spans="1:21" ht="60" customHeight="1" x14ac:dyDescent="0.55000000000000004">
      <c r="A2" s="2" t="s">
        <v>204</v>
      </c>
      <c r="B2" s="38" t="s">
        <v>205</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c r="F6" s="13"/>
      <c r="G6" s="13"/>
      <c r="H6" s="19"/>
      <c r="I6" s="9" t="str">
        <f>IF(G6="Faltante","(faltante)",IF(F6="","",IF(F6&lt;=3,"1 a 3 equipos",IF(F6&lt;=9,"4 a 9 equipos",IF(F6&lt;=15,"10 a 15 equipos",IF(F6&lt;=50,"16 a 50 equipos","Más de 50 equipos"))))))</f>
        <v/>
      </c>
      <c r="J6" s="22" t="str">
        <f>IF($G6="Faltante",PUNTAJE_NEUTRO,IF($I6="","",INDEX('2_Escalas_Reglas'!$E$15:$E$37,MATCH($A6&amp;"|"&amp;$I6,'2_Escalas_Reglas'!$A$15:$A$37,0))))</f>
        <v/>
      </c>
      <c r="K6" s="22" t="str">
        <f>IF($G6="Faltante",PUNTAJE_NEUTRO,IF($I6="","",INDEX('2_Escalas_Reglas'!$F$15:$F$37,MATCH($A6&amp;"|"&amp;$I6,'2_Escalas_Reglas'!$A$15:$A$37,0))))</f>
        <v/>
      </c>
      <c r="L6" s="22" t="str">
        <f>IF($G6="Faltante",PUNTAJE_NEUTRO,IF($I6="","",INDEX('2_Escalas_Reglas'!$G$15:$G$37,MATCH($A6&amp;"|"&amp;$I6,'2_Escalas_Reglas'!$A$15:$A$37,0))))</f>
        <v/>
      </c>
      <c r="M6" s="22" t="str">
        <f>IF($G6="Faltante",PUNTAJE_NEUTRO,IF($I6="","",INDEX('2_Escalas_Reglas'!$H$15:$H$37,MATCH($A6&amp;"|"&amp;$I6,'2_Escalas_Reglas'!$A$15:$A$37,0))))</f>
        <v/>
      </c>
      <c r="N6" s="23" t="str">
        <f t="shared" ref="N6:Q12" si="0">IF(J6="","",$C6*J6)</f>
        <v/>
      </c>
      <c r="O6" s="23" t="str">
        <f t="shared" si="0"/>
        <v/>
      </c>
      <c r="P6" s="23" t="str">
        <f t="shared" si="0"/>
        <v/>
      </c>
      <c r="Q6" s="23" t="str">
        <f t="shared" si="0"/>
        <v/>
      </c>
      <c r="R6" s="23">
        <f>IF($G6="Faltante",IFERROR($C6*INDEX(Aux_Sensibilidad!$C$5:$I$20,MATCH($C$23&amp;"|"&amp;"Nexus",Aux_Sensibilidad!$B$5:$B$20,0),1),0),0)</f>
        <v>0</v>
      </c>
      <c r="S6" s="23">
        <f>IF($G6="Faltante",IFERROR($C6*INDEX(Aux_Sensibilidad!$C$5:$I$20,MATCH($C$23&amp;"|"&amp;"LeSS",Aux_Sensibilidad!$B$5:$B$20,0),1),0),0)</f>
        <v>0</v>
      </c>
      <c r="T6" s="23">
        <f>IF($G6="Faltante",IFERROR($C6*INDEX(Aux_Sensibilidad!$C$5:$I$20,MATCH($C$23&amp;"|"&amp;"SAFe",Aux_Sensibilidad!$B$5:$B$20,0),1),0),0)</f>
        <v>0</v>
      </c>
      <c r="U6" s="23">
        <f>IF($G6="Faltante",IFERROR($C6*INDEX(Aux_Sensibilidad!$C$5:$I$20,MATCH($C$23&amp;"|"&amp;"Disciplined Agile",Aux_Sensibilidad!$B$5:$B$20,0),1),0),0)</f>
        <v>0</v>
      </c>
    </row>
    <row r="7" spans="1:21" ht="60" customHeight="1" x14ac:dyDescent="0.55000000000000004">
      <c r="A7" s="20" t="s">
        <v>45</v>
      </c>
      <c r="B7" s="9" t="str">
        <f>'1_Criterios_Pesos'!B6</f>
        <v>Estructura de producto o solución</v>
      </c>
      <c r="C7" s="21">
        <f>'1_Criterios_Pesos'!D6</f>
        <v>0.2</v>
      </c>
      <c r="D7" s="7" t="str">
        <f>'1_Criterios_Pesos'!E6</f>
        <v>Sí</v>
      </c>
      <c r="E7" s="19"/>
      <c r="F7" s="13"/>
      <c r="G7" s="13"/>
      <c r="H7" s="19"/>
      <c r="I7" s="9" t="str">
        <f t="shared" ref="I7:I12" si="1">IF(G7="Faltante","(faltante)",IF(F7="","",F7))</f>
        <v/>
      </c>
      <c r="J7" s="22" t="str">
        <f>IF($G7="Faltante",PUNTAJE_NEUTRO,IF($I7="","",INDEX('2_Escalas_Reglas'!$E$15:$E$37,MATCH($A7&amp;"|"&amp;$I7,'2_Escalas_Reglas'!$A$15:$A$37,0))))</f>
        <v/>
      </c>
      <c r="K7" s="22" t="str">
        <f>IF($G7="Faltante",PUNTAJE_NEUTRO,IF($I7="","",INDEX('2_Escalas_Reglas'!$F$15:$F$37,MATCH($A7&amp;"|"&amp;$I7,'2_Escalas_Reglas'!$A$15:$A$37,0))))</f>
        <v/>
      </c>
      <c r="L7" s="22" t="str">
        <f>IF($G7="Faltante",PUNTAJE_NEUTRO,IF($I7="","",INDEX('2_Escalas_Reglas'!$G$15:$G$37,MATCH($A7&amp;"|"&amp;$I7,'2_Escalas_Reglas'!$A$15:$A$37,0))))</f>
        <v/>
      </c>
      <c r="M7" s="22" t="str">
        <f>IF($G7="Faltante",PUNTAJE_NEUTRO,IF($I7="","",INDEX('2_Escalas_Reglas'!$H$15:$H$37,MATCH($A7&amp;"|"&amp;$I7,'2_Escalas_Reglas'!$A$15:$A$37,0))))</f>
        <v/>
      </c>
      <c r="N7" s="23" t="str">
        <f t="shared" si="0"/>
        <v/>
      </c>
      <c r="O7" s="23" t="str">
        <f t="shared" si="0"/>
        <v/>
      </c>
      <c r="P7" s="23" t="str">
        <f t="shared" si="0"/>
        <v/>
      </c>
      <c r="Q7" s="23" t="str">
        <f t="shared" si="0"/>
        <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c r="F8" s="13"/>
      <c r="G8" s="13"/>
      <c r="H8" s="19"/>
      <c r="I8" s="9" t="str">
        <f t="shared" si="1"/>
        <v/>
      </c>
      <c r="J8" s="22" t="str">
        <f>IF($G8="Faltante",PUNTAJE_NEUTRO,IF($I8="","",INDEX('2_Escalas_Reglas'!$E$15:$E$37,MATCH($A8&amp;"|"&amp;$I8,'2_Escalas_Reglas'!$A$15:$A$37,0))))</f>
        <v/>
      </c>
      <c r="K8" s="22" t="str">
        <f>IF($G8="Faltante",PUNTAJE_NEUTRO,IF($I8="","",INDEX('2_Escalas_Reglas'!$F$15:$F$37,MATCH($A8&amp;"|"&amp;$I8,'2_Escalas_Reglas'!$A$15:$A$37,0))))</f>
        <v/>
      </c>
      <c r="L8" s="22" t="str">
        <f>IF($G8="Faltante",PUNTAJE_NEUTRO,IF($I8="","",INDEX('2_Escalas_Reglas'!$G$15:$G$37,MATCH($A8&amp;"|"&amp;$I8,'2_Escalas_Reglas'!$A$15:$A$37,0))))</f>
        <v/>
      </c>
      <c r="M8" s="22" t="str">
        <f>IF($G8="Faltante",PUNTAJE_NEUTRO,IF($I8="","",INDEX('2_Escalas_Reglas'!$H$15:$H$37,MATCH($A8&amp;"|"&amp;$I8,'2_Escalas_Reglas'!$A$15:$A$37,0))))</f>
        <v/>
      </c>
      <c r="N8" s="23" t="str">
        <f t="shared" si="0"/>
        <v/>
      </c>
      <c r="O8" s="23" t="str">
        <f t="shared" si="0"/>
        <v/>
      </c>
      <c r="P8" s="23" t="str">
        <f t="shared" si="0"/>
        <v/>
      </c>
      <c r="Q8" s="23" t="str">
        <f t="shared" si="0"/>
        <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c r="F9" s="13"/>
      <c r="G9" s="13"/>
      <c r="H9" s="19"/>
      <c r="I9" s="9" t="str">
        <f t="shared" si="1"/>
        <v/>
      </c>
      <c r="J9" s="22" t="str">
        <f>IF($G9="Faltante",PUNTAJE_NEUTRO,IF($I9="","",INDEX('2_Escalas_Reglas'!$E$15:$E$37,MATCH($A9&amp;"|"&amp;$I9,'2_Escalas_Reglas'!$A$15:$A$37,0))))</f>
        <v/>
      </c>
      <c r="K9" s="22" t="str">
        <f>IF($G9="Faltante",PUNTAJE_NEUTRO,IF($I9="","",INDEX('2_Escalas_Reglas'!$F$15:$F$37,MATCH($A9&amp;"|"&amp;$I9,'2_Escalas_Reglas'!$A$15:$A$37,0))))</f>
        <v/>
      </c>
      <c r="L9" s="22" t="str">
        <f>IF($G9="Faltante",PUNTAJE_NEUTRO,IF($I9="","",INDEX('2_Escalas_Reglas'!$G$15:$G$37,MATCH($A9&amp;"|"&amp;$I9,'2_Escalas_Reglas'!$A$15:$A$37,0))))</f>
        <v/>
      </c>
      <c r="M9" s="22" t="str">
        <f>IF($G9="Faltante",PUNTAJE_NEUTRO,IF($I9="","",INDEX('2_Escalas_Reglas'!$H$15:$H$37,MATCH($A9&amp;"|"&amp;$I9,'2_Escalas_Reglas'!$A$15:$A$37,0))))</f>
        <v/>
      </c>
      <c r="N9" s="23" t="str">
        <f t="shared" si="0"/>
        <v/>
      </c>
      <c r="O9" s="23" t="str">
        <f t="shared" si="0"/>
        <v/>
      </c>
      <c r="P9" s="23" t="str">
        <f t="shared" si="0"/>
        <v/>
      </c>
      <c r="Q9" s="23" t="str">
        <f t="shared" si="0"/>
        <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c r="F10" s="13"/>
      <c r="G10" s="13"/>
      <c r="H10" s="19"/>
      <c r="I10" s="9" t="str">
        <f t="shared" si="1"/>
        <v/>
      </c>
      <c r="J10" s="22" t="str">
        <f>IF($G10="Faltante",PUNTAJE_NEUTRO,IF($I10="","",INDEX('2_Escalas_Reglas'!$E$15:$E$37,MATCH($A10&amp;"|"&amp;$I10,'2_Escalas_Reglas'!$A$15:$A$37,0))))</f>
        <v/>
      </c>
      <c r="K10" s="22" t="str">
        <f>IF($G10="Faltante",PUNTAJE_NEUTRO,IF($I10="","",INDEX('2_Escalas_Reglas'!$F$15:$F$37,MATCH($A10&amp;"|"&amp;$I10,'2_Escalas_Reglas'!$A$15:$A$37,0))))</f>
        <v/>
      </c>
      <c r="L10" s="22" t="str">
        <f>IF($G10="Faltante",PUNTAJE_NEUTRO,IF($I10="","",INDEX('2_Escalas_Reglas'!$G$15:$G$37,MATCH($A10&amp;"|"&amp;$I10,'2_Escalas_Reglas'!$A$15:$A$37,0))))</f>
        <v/>
      </c>
      <c r="M10" s="22" t="str">
        <f>IF($G10="Faltante",PUNTAJE_NEUTRO,IF($I10="","",INDEX('2_Escalas_Reglas'!$H$15:$H$37,MATCH($A10&amp;"|"&amp;$I10,'2_Escalas_Reglas'!$A$15:$A$37,0))))</f>
        <v/>
      </c>
      <c r="N10" s="23" t="str">
        <f t="shared" si="0"/>
        <v/>
      </c>
      <c r="O10" s="23" t="str">
        <f t="shared" si="0"/>
        <v/>
      </c>
      <c r="P10" s="23" t="str">
        <f t="shared" si="0"/>
        <v/>
      </c>
      <c r="Q10" s="23" t="str">
        <f t="shared" si="0"/>
        <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v>
      </c>
      <c r="U10" s="23">
        <f>IF($G10="Faltante",IFERROR($C10*INDEX(Aux_Sensibilidad!$C$5:$I$20,MATCH($C$23&amp;"|"&amp;"Disciplined Agile",Aux_Sensibilidad!$B$5:$B$20,0),5),0),0)</f>
        <v>0</v>
      </c>
    </row>
    <row r="11" spans="1:21" ht="60" customHeight="1" x14ac:dyDescent="0.55000000000000004">
      <c r="A11" s="20" t="s">
        <v>66</v>
      </c>
      <c r="B11" s="9" t="str">
        <f>'1_Criterios_Pesos'!B10</f>
        <v>Autonomía y adaptación del proceso</v>
      </c>
      <c r="C11" s="21">
        <f>'1_Criterios_Pesos'!D10</f>
        <v>0.1</v>
      </c>
      <c r="D11" s="7" t="str">
        <f>'1_Criterios_Pesos'!E10</f>
        <v>No</v>
      </c>
      <c r="E11" s="19"/>
      <c r="F11" s="13"/>
      <c r="G11" s="13"/>
      <c r="H11" s="19"/>
      <c r="I11" s="9" t="str">
        <f t="shared" si="1"/>
        <v/>
      </c>
      <c r="J11" s="22" t="str">
        <f>IF($G11="Faltante",PUNTAJE_NEUTRO,IF($I11="","",INDEX('2_Escalas_Reglas'!$E$15:$E$37,MATCH($A11&amp;"|"&amp;$I11,'2_Escalas_Reglas'!$A$15:$A$37,0))))</f>
        <v/>
      </c>
      <c r="K11" s="22" t="str">
        <f>IF($G11="Faltante",PUNTAJE_NEUTRO,IF($I11="","",INDEX('2_Escalas_Reglas'!$F$15:$F$37,MATCH($A11&amp;"|"&amp;$I11,'2_Escalas_Reglas'!$A$15:$A$37,0))))</f>
        <v/>
      </c>
      <c r="L11" s="22" t="str">
        <f>IF($G11="Faltante",PUNTAJE_NEUTRO,IF($I11="","",INDEX('2_Escalas_Reglas'!$G$15:$G$37,MATCH($A11&amp;"|"&amp;$I11,'2_Escalas_Reglas'!$A$15:$A$37,0))))</f>
        <v/>
      </c>
      <c r="M11" s="22" t="str">
        <f>IF($G11="Faltante",PUNTAJE_NEUTRO,IF($I11="","",INDEX('2_Escalas_Reglas'!$H$15:$H$37,MATCH($A11&amp;"|"&amp;$I11,'2_Escalas_Reglas'!$A$15:$A$37,0))))</f>
        <v/>
      </c>
      <c r="N11" s="23" t="str">
        <f t="shared" si="0"/>
        <v/>
      </c>
      <c r="O11" s="23" t="str">
        <f t="shared" si="0"/>
        <v/>
      </c>
      <c r="P11" s="23" t="str">
        <f t="shared" si="0"/>
        <v/>
      </c>
      <c r="Q11" s="23" t="str">
        <f t="shared" si="0"/>
        <v/>
      </c>
      <c r="R11" s="23">
        <f>IF($G11="Faltante",IFERROR($C11*INDEX(Aux_Sensibilidad!$C$5:$I$20,MATCH($C$23&amp;"|"&amp;"Nexus",Aux_Sensibilidad!$B$5:$B$20,0),6),0),0)</f>
        <v>0</v>
      </c>
      <c r="S11" s="23">
        <f>IF($G11="Faltante",IFERROR($C11*INDEX(Aux_Sensibilidad!$C$5:$I$20,MATCH($C$23&amp;"|"&amp;"LeSS",Aux_Sensibilidad!$B$5:$B$20,0),6),0),0)</f>
        <v>0</v>
      </c>
      <c r="T11" s="23">
        <f>IF($G11="Faltante",IFERROR($C11*INDEX(Aux_Sensibilidad!$C$5:$I$20,MATCH($C$23&amp;"|"&amp;"SAFe",Aux_Sensibilidad!$B$5:$B$20,0),6),0),0)</f>
        <v>0</v>
      </c>
      <c r="U11" s="23">
        <f>IF($G11="Faltante",IFERROR($C11*INDEX(Aux_Sensibilidad!$C$5:$I$20,MATCH($C$23&amp;"|"&amp;"Disciplined Agile",Aux_Sensibilidad!$B$5:$B$20,0),6),0),0)</f>
        <v>0</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c r="F12" s="13"/>
      <c r="G12" s="13"/>
      <c r="H12" s="19"/>
      <c r="I12" s="9" t="str">
        <f t="shared" si="1"/>
        <v/>
      </c>
      <c r="J12" s="22" t="str">
        <f>IF($G12="Faltante",PUNTAJE_NEUTRO,IF($I12="","",INDEX('2_Escalas_Reglas'!$E$15:$E$37,MATCH($A12&amp;"|"&amp;$I12,'2_Escalas_Reglas'!$A$15:$A$37,0))))</f>
        <v/>
      </c>
      <c r="K12" s="22" t="str">
        <f>IF($G12="Faltante",PUNTAJE_NEUTRO,IF($I12="","",INDEX('2_Escalas_Reglas'!$F$15:$F$37,MATCH($A12&amp;"|"&amp;$I12,'2_Escalas_Reglas'!$A$15:$A$37,0))))</f>
        <v/>
      </c>
      <c r="L12" s="22" t="str">
        <f>IF($G12="Faltante",PUNTAJE_NEUTRO,IF($I12="","",INDEX('2_Escalas_Reglas'!$G$15:$G$37,MATCH($A12&amp;"|"&amp;$I12,'2_Escalas_Reglas'!$A$15:$A$37,0))))</f>
        <v/>
      </c>
      <c r="M12" s="22" t="str">
        <f>IF($G12="Faltante",PUNTAJE_NEUTRO,IF($I12="","",INDEX('2_Escalas_Reglas'!$H$15:$H$37,MATCH($A12&amp;"|"&amp;$I12,'2_Escalas_Reglas'!$A$15:$A$37,0))))</f>
        <v/>
      </c>
      <c r="N12" s="23" t="str">
        <f t="shared" si="0"/>
        <v/>
      </c>
      <c r="O12" s="23" t="str">
        <f t="shared" si="0"/>
        <v/>
      </c>
      <c r="P12" s="23" t="str">
        <f t="shared" si="0"/>
        <v/>
      </c>
      <c r="Q12" s="23" t="str">
        <f t="shared" si="0"/>
        <v/>
      </c>
      <c r="R12" s="23">
        <f>IF($G12="Faltante",IFERROR($C12*INDEX(Aux_Sensibilidad!$C$5:$I$20,MATCH($C$23&amp;"|"&amp;"Nexus",Aux_Sensibilidad!$B$5:$B$20,0),7),0),0)</f>
        <v>0</v>
      </c>
      <c r="S12" s="23">
        <f>IF($G12="Faltante",IFERROR($C12*INDEX(Aux_Sensibilidad!$C$5:$I$20,MATCH($C$23&amp;"|"&amp;"LeSS",Aux_Sensibilidad!$B$5:$B$20,0),7),0),0)</f>
        <v>0</v>
      </c>
      <c r="T12" s="23">
        <f>IF($G12="Faltante",IFERROR($C12*INDEX(Aux_Sensibilidad!$C$5:$I$20,MATCH($C$23&amp;"|"&amp;"SAFe",Aux_Sensibilidad!$B$5:$B$20,0),7),0),0)</f>
        <v>0</v>
      </c>
      <c r="U12" s="23">
        <f>IF($G12="Faltante",IFERROR($C12*INDEX(Aux_Sensibilidad!$C$5:$I$20,MATCH($C$23&amp;"|"&amp;"Disciplined Agile",Aux_Sensibilidad!$B$5:$B$20,0),7),0),0)</f>
        <v>0</v>
      </c>
    </row>
    <row r="13" spans="1:21" x14ac:dyDescent="0.55000000000000004">
      <c r="I13" s="2" t="s">
        <v>220</v>
      </c>
      <c r="N13" s="24">
        <f t="shared" ref="N13:U13" si="2">SUM(N6:N12)</f>
        <v>0</v>
      </c>
      <c r="O13" s="24">
        <f t="shared" si="2"/>
        <v>0</v>
      </c>
      <c r="P13" s="24">
        <f t="shared" si="2"/>
        <v>0</v>
      </c>
      <c r="Q13" s="24">
        <f t="shared" si="2"/>
        <v>0</v>
      </c>
      <c r="R13" s="25">
        <f t="shared" si="2"/>
        <v>0</v>
      </c>
      <c r="S13" s="25">
        <f t="shared" si="2"/>
        <v>0</v>
      </c>
      <c r="T13" s="25">
        <f t="shared" si="2"/>
        <v>0</v>
      </c>
      <c r="U13" s="25">
        <f t="shared" si="2"/>
        <v>0</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0</v>
      </c>
      <c r="C17" s="7" t="str">
        <f>IF(SUMPRODUCT(($D$6:$D$12="Sí")*(J$6:J$12=0)*($G$6:$G$12&lt;&gt;"Faltante"))&gt;0,"Sí","No")</f>
        <v>No</v>
      </c>
      <c r="D17" s="13" t="s">
        <v>53</v>
      </c>
      <c r="E17" s="19"/>
      <c r="F17" s="7" t="str">
        <f>IF(OR(C17="Sí",D17="Sí"),"Excluido","Elegible")</f>
        <v>Elegible</v>
      </c>
      <c r="G17" s="6">
        <f>IF(F17="Excluido",-1,B17)</f>
        <v>0</v>
      </c>
      <c r="H17" s="7">
        <f>IF(F17="Excluido","—",RANK(G17,$G$17:$G$20))</f>
        <v>1</v>
      </c>
      <c r="I17" s="7">
        <f>COUNTIF(J$6:J$12,"&lt;=1")</f>
        <v>0</v>
      </c>
      <c r="J17" s="6">
        <f>SUMIF($D$6:$D$12,"Sí",N$6:N$12)</f>
        <v>0</v>
      </c>
      <c r="K17" s="7">
        <v>4</v>
      </c>
      <c r="L17" s="7" t="b">
        <f>AND(F17="Elegible",ROUND(B17,4)&gt;=ROUND($C$22-UMBRAL_EMPATE,4))</f>
        <v>1</v>
      </c>
      <c r="M17" s="27">
        <f>IF(L17,10000-I17*1000+J17*100+K17,-1)</f>
        <v>10004</v>
      </c>
      <c r="N17" s="6" t="str">
        <f>IF(OR(F17="Excluido",A17=$C$23),"—",INDEX($B$17:$B$20,MATCH($C$23,$A$17:$A$20,0))-B17)</f>
        <v>—</v>
      </c>
      <c r="O17" s="6">
        <f>R13</f>
        <v>0</v>
      </c>
      <c r="P17" s="6" t="str">
        <f>IF(OR(F17="Excluido",A17=$C$23),"—",N17+O17)</f>
        <v>—</v>
      </c>
    </row>
    <row r="18" spans="1:16" x14ac:dyDescent="0.55000000000000004">
      <c r="A18" s="20" t="s">
        <v>17</v>
      </c>
      <c r="B18" s="26">
        <f>O13</f>
        <v>0</v>
      </c>
      <c r="C18" s="7" t="str">
        <f>IF(SUMPRODUCT(($D$6:$D$12="Sí")*(K$6:K$12=0)*($G$6:$G$12&lt;&gt;"Faltante"))&gt;0,"Sí","No")</f>
        <v>No</v>
      </c>
      <c r="D18" s="13" t="s">
        <v>53</v>
      </c>
      <c r="E18" s="19"/>
      <c r="F18" s="7" t="str">
        <f>IF(OR(C18="Sí",D18="Sí"),"Excluido","Elegible")</f>
        <v>Elegible</v>
      </c>
      <c r="G18" s="6">
        <f>IF(F18="Excluido",-1,B18)</f>
        <v>0</v>
      </c>
      <c r="H18" s="7">
        <f>IF(F18="Excluido","—",RANK(G18,$G$17:$G$20))</f>
        <v>1</v>
      </c>
      <c r="I18" s="7">
        <f>COUNTIF(K$6:K$12,"&lt;=1")</f>
        <v>0</v>
      </c>
      <c r="J18" s="6">
        <f>SUMIF($D$6:$D$12,"Sí",O$6:O$12)</f>
        <v>0</v>
      </c>
      <c r="K18" s="7">
        <v>3</v>
      </c>
      <c r="L18" s="7" t="b">
        <f>AND(F18="Elegible",ROUND(B18,4)&gt;=ROUND($C$22-UMBRAL_EMPATE,4))</f>
        <v>1</v>
      </c>
      <c r="M18" s="27">
        <f>IF(L18,10000-I18*1000+J18*100+K18,-1)</f>
        <v>10003</v>
      </c>
      <c r="N18" s="6">
        <f>IF(OR(F18="Excluido",A18=$C$23),"—",INDEX($B$17:$B$20,MATCH($C$23,$A$17:$A$20,0))-B18)</f>
        <v>0</v>
      </c>
      <c r="O18" s="6">
        <f>S13</f>
        <v>0</v>
      </c>
      <c r="P18" s="6">
        <f>IF(OR(F18="Excluido",A18=$C$23),"—",N18+O18)</f>
        <v>0</v>
      </c>
    </row>
    <row r="19" spans="1:16" x14ac:dyDescent="0.55000000000000004">
      <c r="A19" s="20" t="s">
        <v>18</v>
      </c>
      <c r="B19" s="26">
        <f>P13</f>
        <v>0</v>
      </c>
      <c r="C19" s="7" t="str">
        <f>IF(SUMPRODUCT(($D$6:$D$12="Sí")*(L$6:L$12=0)*($G$6:$G$12&lt;&gt;"Faltante"))&gt;0,"Sí","No")</f>
        <v>No</v>
      </c>
      <c r="D19" s="13" t="s">
        <v>53</v>
      </c>
      <c r="E19" s="19"/>
      <c r="F19" s="7" t="str">
        <f>IF(OR(C19="Sí",D19="Sí"),"Excluido","Elegible")</f>
        <v>Elegible</v>
      </c>
      <c r="G19" s="6">
        <f>IF(F19="Excluido",-1,B19)</f>
        <v>0</v>
      </c>
      <c r="H19" s="7">
        <f>IF(F19="Excluido","—",RANK(G19,$G$17:$G$20))</f>
        <v>1</v>
      </c>
      <c r="I19" s="7">
        <f>COUNTIF(L$6:L$12,"&lt;=1")</f>
        <v>0</v>
      </c>
      <c r="J19" s="6">
        <f>SUMIF($D$6:$D$12,"Sí",P$6:P$12)</f>
        <v>0</v>
      </c>
      <c r="K19" s="7">
        <v>1</v>
      </c>
      <c r="L19" s="7" t="b">
        <f>AND(F19="Elegible",ROUND(B19,4)&gt;=ROUND($C$22-UMBRAL_EMPATE,4))</f>
        <v>1</v>
      </c>
      <c r="M19" s="27">
        <f>IF(L19,10000-I19*1000+J19*100+K19,-1)</f>
        <v>10001</v>
      </c>
      <c r="N19" s="6">
        <f>IF(OR(F19="Excluido",A19=$C$23),"—",INDEX($B$17:$B$20,MATCH($C$23,$A$17:$A$20,0))-B19)</f>
        <v>0</v>
      </c>
      <c r="O19" s="6">
        <f>T13</f>
        <v>0</v>
      </c>
      <c r="P19" s="6">
        <f>IF(OR(F19="Excluido",A19=$C$23),"—",N19+O19)</f>
        <v>0</v>
      </c>
    </row>
    <row r="20" spans="1:16" ht="28.8" x14ac:dyDescent="0.55000000000000004">
      <c r="A20" s="20" t="s">
        <v>202</v>
      </c>
      <c r="B20" s="26">
        <f>Q13</f>
        <v>0</v>
      </c>
      <c r="C20" s="7" t="str">
        <f>IF(SUMPRODUCT(($D$6:$D$12="Sí")*(M$6:M$12=0)*($G$6:$G$12&lt;&gt;"Faltante"))&gt;0,"Sí","No")</f>
        <v>No</v>
      </c>
      <c r="D20" s="13" t="s">
        <v>53</v>
      </c>
      <c r="E20" s="19"/>
      <c r="F20" s="7" t="str">
        <f>IF(OR(C20="Sí",D20="Sí"),"Excluido","Elegible")</f>
        <v>Elegible</v>
      </c>
      <c r="G20" s="6">
        <f>IF(F20="Excluido",-1,B20)</f>
        <v>0</v>
      </c>
      <c r="H20" s="7">
        <f>IF(F20="Excluido","—",RANK(G20,$G$17:$G$20))</f>
        <v>1</v>
      </c>
      <c r="I20" s="7">
        <f>COUNTIF(M$6:M$12,"&lt;=1")</f>
        <v>0</v>
      </c>
      <c r="J20" s="6">
        <f>SUMIF($D$6:$D$12,"Sí",Q$6:Q$12)</f>
        <v>0</v>
      </c>
      <c r="K20" s="7">
        <v>2</v>
      </c>
      <c r="L20" s="7" t="b">
        <f>AND(F20="Elegible",ROUND(B20,4)&gt;=ROUND($C$22-UMBRAL_EMPATE,4))</f>
        <v>1</v>
      </c>
      <c r="M20" s="27">
        <f>IF(L20,10000-I20*1000+J20*100+K20,-1)</f>
        <v>10002</v>
      </c>
      <c r="N20" s="6">
        <f>IF(OR(F20="Excluido",A20=$C$23),"—",INDEX($B$17:$B$20,MATCH($C$23,$A$17:$A$20,0))-B20)</f>
        <v>0</v>
      </c>
      <c r="O20" s="6">
        <f>U13</f>
        <v>0</v>
      </c>
      <c r="P20" s="6">
        <f>IF(OR(F20="Excluido",A20=$C$23),"—",N20+O20)</f>
        <v>0</v>
      </c>
    </row>
    <row r="22" spans="1:16" ht="18" customHeight="1" x14ac:dyDescent="0.55000000000000004">
      <c r="A22" s="35" t="s">
        <v>238</v>
      </c>
      <c r="B22" s="29"/>
      <c r="C22" s="33">
        <f>MAX(G17:G20)</f>
        <v>0</v>
      </c>
      <c r="D22" s="29"/>
      <c r="E22" s="29"/>
      <c r="F22" s="29"/>
      <c r="G22" s="29"/>
      <c r="H22" s="29"/>
    </row>
    <row r="23" spans="1:16" ht="18" customHeight="1" x14ac:dyDescent="0.55000000000000004">
      <c r="A23" s="35" t="s">
        <v>239</v>
      </c>
      <c r="B23" s="29"/>
      <c r="C23" s="37" t="str">
        <f>IF(MAX(M17:M20)&lt;0,"Ninguno compatible",INDEX(A17:A20,MATCH(MAX(M17:M20),M17:M20,0)))</f>
        <v>Nexus</v>
      </c>
      <c r="D23" s="29"/>
      <c r="E23" s="29"/>
      <c r="F23" s="29"/>
      <c r="G23" s="29"/>
      <c r="H23" s="29"/>
    </row>
    <row r="24" spans="1:16" ht="18" customHeight="1" x14ac:dyDescent="0.55000000000000004">
      <c r="A24" s="35" t="s">
        <v>240</v>
      </c>
      <c r="B24" s="29"/>
      <c r="C24" s="33">
        <f>IFERROR(INDEX(B17:B20,MATCH(C23,A17:A20,0)),"—")</f>
        <v>0</v>
      </c>
      <c r="D24" s="29"/>
      <c r="E24" s="29"/>
      <c r="F24" s="29"/>
      <c r="G24" s="29"/>
      <c r="H24" s="29"/>
    </row>
    <row r="25" spans="1:16" ht="18" customHeight="1" x14ac:dyDescent="0.55000000000000004">
      <c r="A25" s="35" t="s">
        <v>241</v>
      </c>
      <c r="B25" s="29"/>
      <c r="C25" s="36" t="str">
        <f>IFERROR(INDEX(A17:A20,MATCH(LARGE(G17:G20,2),G17:G20,0)),"—")</f>
        <v>Nexus</v>
      </c>
      <c r="D25" s="29"/>
      <c r="E25" s="29"/>
      <c r="F25" s="29"/>
      <c r="G25" s="29"/>
      <c r="H25" s="29"/>
    </row>
    <row r="26" spans="1:16" ht="18" customHeight="1" x14ac:dyDescent="0.55000000000000004">
      <c r="A26" s="35" t="s">
        <v>242</v>
      </c>
      <c r="B26" s="29"/>
      <c r="C26" s="33">
        <f>IF(LARGE(G17:G20,2)&lt;0,"—",LARGE(G17:G20,1)-LARGE(G17:G20,2))</f>
        <v>0</v>
      </c>
      <c r="D26" s="29"/>
      <c r="E26" s="29"/>
      <c r="F26" s="29"/>
      <c r="G26" s="29"/>
      <c r="H26" s="29"/>
    </row>
    <row r="27" spans="1:16" ht="18" customHeight="1" x14ac:dyDescent="0.55000000000000004">
      <c r="A27" s="35" t="s">
        <v>22</v>
      </c>
      <c r="B27" s="29"/>
      <c r="C27" s="36" t="str">
        <f>IF(COUNTIF(L17:L20,TRUE)&gt;1,"Sí: se aplicó la regla R6 de desempate","No")</f>
        <v>Sí: se aplicó la regla R6 de desempate</v>
      </c>
      <c r="D27" s="29"/>
      <c r="E27" s="29"/>
      <c r="F27" s="29"/>
      <c r="G27" s="29"/>
      <c r="H27" s="29"/>
    </row>
    <row r="28" spans="1:16" ht="18" customHeight="1" x14ac:dyDescent="0.55000000000000004">
      <c r="A28" s="35" t="s">
        <v>243</v>
      </c>
      <c r="B28" s="29"/>
      <c r="C28" s="39">
        <f>SUMIF(G6:G12,"Explícito",C6:C12)</f>
        <v>0</v>
      </c>
      <c r="D28" s="29"/>
      <c r="E28" s="29"/>
      <c r="F28" s="29"/>
      <c r="G28" s="29"/>
      <c r="H28" s="29"/>
    </row>
    <row r="29" spans="1:16" ht="18" customHeight="1" x14ac:dyDescent="0.55000000000000004">
      <c r="A29" s="35" t="s">
        <v>244</v>
      </c>
      <c r="B29" s="29"/>
      <c r="C29" s="39">
        <f>SUMIF(G6:G12,"Inferido",C6:C12)</f>
        <v>0</v>
      </c>
      <c r="D29" s="29"/>
      <c r="E29" s="29"/>
      <c r="F29" s="29"/>
      <c r="G29" s="29"/>
      <c r="H29" s="29"/>
    </row>
    <row r="30" spans="1:16" ht="18" customHeight="1" x14ac:dyDescent="0.55000000000000004">
      <c r="A30" s="35" t="s">
        <v>245</v>
      </c>
      <c r="B30" s="29"/>
      <c r="C30" s="39">
        <f>SUMIF(G6:G12,"Faltante",C6:C12)</f>
        <v>0</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Robusta: no hay datos faltantes</v>
      </c>
      <c r="D31" s="29"/>
      <c r="E31" s="29"/>
      <c r="F31" s="29"/>
      <c r="G31" s="29"/>
      <c r="H31" s="29"/>
    </row>
    <row r="32" spans="1:16" ht="30" customHeight="1" x14ac:dyDescent="0.55000000000000004">
      <c r="A32" s="35" t="s">
        <v>247</v>
      </c>
      <c r="B32" s="29"/>
      <c r="C32" s="38"/>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11" priority="1" operator="equal">
      <formula>"Excluido"</formula>
    </cfRule>
  </conditionalFormatting>
  <conditionalFormatting sqref="P17:P20">
    <cfRule type="expression" dxfId="10" priority="2">
      <formula>AND(ISNUMBER(P17),P17&lt;=0)</formula>
    </cfRule>
  </conditionalFormatting>
  <dataValidations count="8">
    <dataValidation type="list" allowBlank="1" sqref="G6 G7 G8 G9 G10 G11 G12" xr:uid="{00000000-0002-0000-0600-000000000000}">
      <formula1>"Explícito,Inferido,Faltante"</formula1>
    </dataValidation>
    <dataValidation type="whole" operator="greaterThanOrEqual" allowBlank="1" sqref="F6" xr:uid="{00000000-0002-0000-0600-000001000000}">
      <formula1>1</formula1>
    </dataValidation>
    <dataValidation type="list" allowBlank="1" sqref="F7" xr:uid="{00000000-0002-0000-0600-000002000000}">
      <formula1>"Un solo producto,Varias soluciones interdependientes,Productos o proyectos independientes"</formula1>
    </dataValidation>
    <dataValidation type="list" allowBlank="1" sqref="F8" xr:uid="{00000000-0002-0000-0600-000003000000}">
      <formula1>"Bajas,Medias,Altas"</formula1>
    </dataValidation>
    <dataValidation type="list" allowBlank="1" sqref="F9" xr:uid="{00000000-0002-0000-0600-000004000000}">
      <formula1>"Ligera,Variable por contrato o cliente,Regulatoria formal"</formula1>
    </dataValidation>
    <dataValidation type="list" allowBlank="1" sqref="F10" xr:uid="{00000000-0002-0000-0600-000005000000}">
      <formula1>"Bajo,Medio,Alto"</formula1>
    </dataValidation>
    <dataValidation type="list" allowBlank="1" sqref="F11:F12" xr:uid="{00000000-0002-0000-0600-000006000000}">
      <formula1>"Baja,Media,Alta"</formula1>
    </dataValidation>
    <dataValidation type="list" sqref="D17 D18 D19 D20" xr:uid="{00000000-0002-0000-0600-000008000000}">
      <formula1>"Sí,No"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25</v>
      </c>
    </row>
    <row r="2" spans="1:21" ht="60" customHeight="1" x14ac:dyDescent="0.55000000000000004">
      <c r="A2" s="2" t="s">
        <v>204</v>
      </c>
      <c r="B2" s="38" t="s">
        <v>248</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t="s">
        <v>249</v>
      </c>
      <c r="F6" s="13">
        <v>22</v>
      </c>
      <c r="G6" s="13" t="s">
        <v>250</v>
      </c>
      <c r="H6" s="19"/>
      <c r="I6" s="9" t="str">
        <f>IF(G6="Faltante","(faltante)",IF(F6="","",IF(F6&lt;=3,"1 a 3 equipos",IF(F6&lt;=9,"4 a 9 equipos",IF(F6&lt;=15,"10 a 15 equipos",IF(F6&lt;=50,"16 a 50 equipos","Más de 50 equipos"))))))</f>
        <v>16 a 50 equipos</v>
      </c>
      <c r="J6" s="22">
        <f>IF($G6="Faltante",PUNTAJE_NEUTRO,IF($I6="","",INDEX('2_Escalas_Reglas'!$E$15:$E$37,MATCH($A6&amp;"|"&amp;$I6,'2_Escalas_Reglas'!$A$15:$A$37,0))))</f>
        <v>1</v>
      </c>
      <c r="K6" s="22">
        <f>IF($G6="Faltante",PUNTAJE_NEUTRO,IF($I6="","",INDEX('2_Escalas_Reglas'!$F$15:$F$37,MATCH($A6&amp;"|"&amp;$I6,'2_Escalas_Reglas'!$A$15:$A$37,0))))</f>
        <v>3</v>
      </c>
      <c r="L6" s="22">
        <f>IF($G6="Faltante",PUNTAJE_NEUTRO,IF($I6="","",INDEX('2_Escalas_Reglas'!$G$15:$G$37,MATCH($A6&amp;"|"&amp;$I6,'2_Escalas_Reglas'!$A$15:$A$37,0))))</f>
        <v>5</v>
      </c>
      <c r="M6" s="22">
        <f>IF($G6="Faltante",PUNTAJE_NEUTRO,IF($I6="","",INDEX('2_Escalas_Reglas'!$H$15:$H$37,MATCH($A6&amp;"|"&amp;$I6,'2_Escalas_Reglas'!$A$15:$A$37,0))))</f>
        <v>3</v>
      </c>
      <c r="N6" s="23">
        <f t="shared" ref="N6:Q12" si="0">IF(J6="","",$C6*J6)</f>
        <v>0.15</v>
      </c>
      <c r="O6" s="23">
        <f t="shared" si="0"/>
        <v>0.44999999999999996</v>
      </c>
      <c r="P6" s="23">
        <f t="shared" si="0"/>
        <v>0.75</v>
      </c>
      <c r="Q6" s="23">
        <f t="shared" si="0"/>
        <v>0.44999999999999996</v>
      </c>
      <c r="R6" s="23">
        <f>IF($G6="Faltante",IFERROR($C6*INDEX(Aux_Sensibilidad!$C$5:$I$20,MATCH($C$23&amp;"|"&amp;"Nexus",Aux_Sensibilidad!$B$5:$B$20,0),1),0),0)</f>
        <v>0</v>
      </c>
      <c r="S6" s="23">
        <f>IF($G6="Faltante",IFERROR($C6*INDEX(Aux_Sensibilidad!$C$5:$I$20,MATCH($C$23&amp;"|"&amp;"LeSS",Aux_Sensibilidad!$B$5:$B$20,0),1),0),0)</f>
        <v>0</v>
      </c>
      <c r="T6" s="23">
        <f>IF($G6="Faltante",IFERROR($C6*INDEX(Aux_Sensibilidad!$C$5:$I$20,MATCH($C$23&amp;"|"&amp;"SAFe",Aux_Sensibilidad!$B$5:$B$20,0),1),0),0)</f>
        <v>0</v>
      </c>
      <c r="U6" s="23">
        <f>IF($G6="Faltante",IFERROR($C6*INDEX(Aux_Sensibilidad!$C$5:$I$20,MATCH($C$23&amp;"|"&amp;"Disciplined Agile",Aux_Sensibilidad!$B$5:$B$20,0),1),0),0)</f>
        <v>0</v>
      </c>
    </row>
    <row r="7" spans="1:21" ht="60" customHeight="1" x14ac:dyDescent="0.55000000000000004">
      <c r="A7" s="20" t="s">
        <v>45</v>
      </c>
      <c r="B7" s="9" t="str">
        <f>'1_Criterios_Pesos'!B6</f>
        <v>Estructura de producto o solución</v>
      </c>
      <c r="C7" s="21">
        <f>'1_Criterios_Pesos'!D6</f>
        <v>0.2</v>
      </c>
      <c r="D7" s="7" t="str">
        <f>'1_Criterios_Pesos'!E6</f>
        <v>Sí</v>
      </c>
      <c r="E7" s="19" t="s">
        <v>251</v>
      </c>
      <c r="F7" s="13" t="s">
        <v>118</v>
      </c>
      <c r="G7" s="13" t="s">
        <v>250</v>
      </c>
      <c r="H7" s="19"/>
      <c r="I7" s="9" t="str">
        <f t="shared" ref="I7:I12" si="1">IF(G7="Faltante","(faltante)",IF(F7="","",F7))</f>
        <v>Varias soluciones interdependientes</v>
      </c>
      <c r="J7" s="22">
        <f>IF($G7="Faltante",PUNTAJE_NEUTRO,IF($I7="","",INDEX('2_Escalas_Reglas'!$E$15:$E$37,MATCH($A7&amp;"|"&amp;$I7,'2_Escalas_Reglas'!$A$15:$A$37,0))))</f>
        <v>1</v>
      </c>
      <c r="K7" s="22">
        <f>IF($G7="Faltante",PUNTAJE_NEUTRO,IF($I7="","",INDEX('2_Escalas_Reglas'!$F$15:$F$37,MATCH($A7&amp;"|"&amp;$I7,'2_Escalas_Reglas'!$A$15:$A$37,0))))</f>
        <v>2</v>
      </c>
      <c r="L7" s="22">
        <f>IF($G7="Faltante",PUNTAJE_NEUTRO,IF($I7="","",INDEX('2_Escalas_Reglas'!$G$15:$G$37,MATCH($A7&amp;"|"&amp;$I7,'2_Escalas_Reglas'!$A$15:$A$37,0))))</f>
        <v>5</v>
      </c>
      <c r="M7" s="22">
        <f>IF($G7="Faltante",PUNTAJE_NEUTRO,IF($I7="","",INDEX('2_Escalas_Reglas'!$H$15:$H$37,MATCH($A7&amp;"|"&amp;$I7,'2_Escalas_Reglas'!$A$15:$A$37,0))))</f>
        <v>3</v>
      </c>
      <c r="N7" s="23">
        <f t="shared" si="0"/>
        <v>0.2</v>
      </c>
      <c r="O7" s="23">
        <f t="shared" si="0"/>
        <v>0.4</v>
      </c>
      <c r="P7" s="23">
        <f t="shared" si="0"/>
        <v>1</v>
      </c>
      <c r="Q7" s="23">
        <f t="shared" si="0"/>
        <v>0.60000000000000009</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t="s">
        <v>252</v>
      </c>
      <c r="F8" s="13" t="s">
        <v>130</v>
      </c>
      <c r="G8" s="13" t="s">
        <v>250</v>
      </c>
      <c r="H8" s="19"/>
      <c r="I8" s="9" t="str">
        <f t="shared" si="1"/>
        <v>Altas</v>
      </c>
      <c r="J8" s="22">
        <f>IF($G8="Faltante",PUNTAJE_NEUTRO,IF($I8="","",INDEX('2_Escalas_Reglas'!$E$15:$E$37,MATCH($A8&amp;"|"&amp;$I8,'2_Escalas_Reglas'!$A$15:$A$37,0))))</f>
        <v>2</v>
      </c>
      <c r="K8" s="22">
        <f>IF($G8="Faltante",PUNTAJE_NEUTRO,IF($I8="","",INDEX('2_Escalas_Reglas'!$F$15:$F$37,MATCH($A8&amp;"|"&amp;$I8,'2_Escalas_Reglas'!$A$15:$A$37,0))))</f>
        <v>2</v>
      </c>
      <c r="L8" s="22">
        <f>IF($G8="Faltante",PUNTAJE_NEUTRO,IF($I8="","",INDEX('2_Escalas_Reglas'!$G$15:$G$37,MATCH($A8&amp;"|"&amp;$I8,'2_Escalas_Reglas'!$A$15:$A$37,0))))</f>
        <v>5</v>
      </c>
      <c r="M8" s="22">
        <f>IF($G8="Faltante",PUNTAJE_NEUTRO,IF($I8="","",INDEX('2_Escalas_Reglas'!$H$15:$H$37,MATCH($A8&amp;"|"&amp;$I8,'2_Escalas_Reglas'!$A$15:$A$37,0))))</f>
        <v>3</v>
      </c>
      <c r="N8" s="23">
        <f t="shared" si="0"/>
        <v>0.3</v>
      </c>
      <c r="O8" s="23">
        <f t="shared" si="0"/>
        <v>0.3</v>
      </c>
      <c r="P8" s="23">
        <f t="shared" si="0"/>
        <v>0.75</v>
      </c>
      <c r="Q8" s="23">
        <f t="shared" si="0"/>
        <v>0.44999999999999996</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t="s">
        <v>253</v>
      </c>
      <c r="F9" s="13" t="s">
        <v>139</v>
      </c>
      <c r="G9" s="13" t="s">
        <v>250</v>
      </c>
      <c r="H9" s="19"/>
      <c r="I9" s="9" t="str">
        <f t="shared" si="1"/>
        <v>Regulatoria formal</v>
      </c>
      <c r="J9" s="22">
        <f>IF($G9="Faltante",PUNTAJE_NEUTRO,IF($I9="","",INDEX('2_Escalas_Reglas'!$E$15:$E$37,MATCH($A9&amp;"|"&amp;$I9,'2_Escalas_Reglas'!$A$15:$A$37,0))))</f>
        <v>2</v>
      </c>
      <c r="K9" s="22">
        <f>IF($G9="Faltante",PUNTAJE_NEUTRO,IF($I9="","",INDEX('2_Escalas_Reglas'!$F$15:$F$37,MATCH($A9&amp;"|"&amp;$I9,'2_Escalas_Reglas'!$A$15:$A$37,0))))</f>
        <v>1</v>
      </c>
      <c r="L9" s="22">
        <f>IF($G9="Faltante",PUNTAJE_NEUTRO,IF($I9="","",INDEX('2_Escalas_Reglas'!$G$15:$G$37,MATCH($A9&amp;"|"&amp;$I9,'2_Escalas_Reglas'!$A$15:$A$37,0))))</f>
        <v>5</v>
      </c>
      <c r="M9" s="22">
        <f>IF($G9="Faltante",PUNTAJE_NEUTRO,IF($I9="","",INDEX('2_Escalas_Reglas'!$H$15:$H$37,MATCH($A9&amp;"|"&amp;$I9,'2_Escalas_Reglas'!$A$15:$A$37,0))))</f>
        <v>4</v>
      </c>
      <c r="N9" s="23">
        <f t="shared" si="0"/>
        <v>0.2</v>
      </c>
      <c r="O9" s="23">
        <f t="shared" si="0"/>
        <v>0.1</v>
      </c>
      <c r="P9" s="23">
        <f t="shared" si="0"/>
        <v>0.5</v>
      </c>
      <c r="Q9" s="23">
        <f t="shared" si="0"/>
        <v>0.4</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t="s">
        <v>254</v>
      </c>
      <c r="F10" s="13" t="s">
        <v>148</v>
      </c>
      <c r="G10" s="13" t="s">
        <v>250</v>
      </c>
      <c r="H10" s="19"/>
      <c r="I10" s="9" t="str">
        <f t="shared" si="1"/>
        <v>Alto</v>
      </c>
      <c r="J10" s="22">
        <f>IF($G10="Faltante",PUNTAJE_NEUTRO,IF($I10="","",INDEX('2_Escalas_Reglas'!$E$15:$E$37,MATCH($A10&amp;"|"&amp;$I10,'2_Escalas_Reglas'!$A$15:$A$37,0))))</f>
        <v>1</v>
      </c>
      <c r="K10" s="22">
        <f>IF($G10="Faltante",PUNTAJE_NEUTRO,IF($I10="","",INDEX('2_Escalas_Reglas'!$F$15:$F$37,MATCH($A10&amp;"|"&amp;$I10,'2_Escalas_Reglas'!$A$15:$A$37,0))))</f>
        <v>1</v>
      </c>
      <c r="L10" s="22">
        <f>IF($G10="Faltante",PUNTAJE_NEUTRO,IF($I10="","",INDEX('2_Escalas_Reglas'!$G$15:$G$37,MATCH($A10&amp;"|"&amp;$I10,'2_Escalas_Reglas'!$A$15:$A$37,0))))</f>
        <v>5</v>
      </c>
      <c r="M10" s="22">
        <f>IF($G10="Faltante",PUNTAJE_NEUTRO,IF($I10="","",INDEX('2_Escalas_Reglas'!$H$15:$H$37,MATCH($A10&amp;"|"&amp;$I10,'2_Escalas_Reglas'!$A$15:$A$37,0))))</f>
        <v>3</v>
      </c>
      <c r="N10" s="23">
        <f t="shared" si="0"/>
        <v>0.15</v>
      </c>
      <c r="O10" s="23">
        <f t="shared" si="0"/>
        <v>0.15</v>
      </c>
      <c r="P10" s="23">
        <f t="shared" si="0"/>
        <v>0.75</v>
      </c>
      <c r="Q10" s="23">
        <f t="shared" si="0"/>
        <v>0.44999999999999996</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v>
      </c>
      <c r="U10" s="23">
        <f>IF($G10="Faltante",IFERROR($C10*INDEX(Aux_Sensibilidad!$C$5:$I$20,MATCH($C$23&amp;"|"&amp;"Disciplined Agile",Aux_Sensibilidad!$B$5:$B$20,0),5),0),0)</f>
        <v>0</v>
      </c>
    </row>
    <row r="11" spans="1:21" ht="60" customHeight="1" x14ac:dyDescent="0.55000000000000004">
      <c r="A11" s="20" t="s">
        <v>66</v>
      </c>
      <c r="B11" s="9" t="str">
        <f>'1_Criterios_Pesos'!B10</f>
        <v>Autonomía y adaptación del proceso</v>
      </c>
      <c r="C11" s="21">
        <f>'1_Criterios_Pesos'!D10</f>
        <v>0.1</v>
      </c>
      <c r="D11" s="7" t="str">
        <f>'1_Criterios_Pesos'!E10</f>
        <v>No</v>
      </c>
      <c r="E11" s="19" t="s">
        <v>255</v>
      </c>
      <c r="F11" s="13"/>
      <c r="G11" s="13" t="s">
        <v>256</v>
      </c>
      <c r="H11" s="19" t="s">
        <v>257</v>
      </c>
      <c r="I11" s="9" t="str">
        <f t="shared" si="1"/>
        <v>(faltante)</v>
      </c>
      <c r="J11" s="22">
        <f>IF($G11="Faltante",PUNTAJE_NEUTRO,IF($I11="","",INDEX('2_Escalas_Reglas'!$E$15:$E$37,MATCH($A11&amp;"|"&amp;$I11,'2_Escalas_Reglas'!$A$15:$A$37,0))))</f>
        <v>2.5</v>
      </c>
      <c r="K11" s="22">
        <f>IF($G11="Faltante",PUNTAJE_NEUTRO,IF($I11="","",INDEX('2_Escalas_Reglas'!$F$15:$F$37,MATCH($A11&amp;"|"&amp;$I11,'2_Escalas_Reglas'!$A$15:$A$37,0))))</f>
        <v>2.5</v>
      </c>
      <c r="L11" s="22">
        <f>IF($G11="Faltante",PUNTAJE_NEUTRO,IF($I11="","",INDEX('2_Escalas_Reglas'!$G$15:$G$37,MATCH($A11&amp;"|"&amp;$I11,'2_Escalas_Reglas'!$A$15:$A$37,0))))</f>
        <v>2.5</v>
      </c>
      <c r="M11" s="22">
        <f>IF($G11="Faltante",PUNTAJE_NEUTRO,IF($I11="","",INDEX('2_Escalas_Reglas'!$H$15:$H$37,MATCH($A11&amp;"|"&amp;$I11,'2_Escalas_Reglas'!$A$15:$A$37,0))))</f>
        <v>2.5</v>
      </c>
      <c r="N11" s="23">
        <f t="shared" si="0"/>
        <v>0.25</v>
      </c>
      <c r="O11" s="23">
        <f t="shared" si="0"/>
        <v>0.25</v>
      </c>
      <c r="P11" s="23">
        <f t="shared" si="0"/>
        <v>0.25</v>
      </c>
      <c r="Q11" s="23">
        <f t="shared" si="0"/>
        <v>0.25</v>
      </c>
      <c r="R11" s="23">
        <f>IF($G11="Faltante",IFERROR($C11*INDEX(Aux_Sensibilidad!$C$5:$I$20,MATCH($C$23&amp;"|"&amp;"Nexus",Aux_Sensibilidad!$B$5:$B$20,0),6),0),0)</f>
        <v>0</v>
      </c>
      <c r="S11" s="23">
        <f>IF($G11="Faltante",IFERROR($C11*INDEX(Aux_Sensibilidad!$C$5:$I$20,MATCH($C$23&amp;"|"&amp;"LeSS",Aux_Sensibilidad!$B$5:$B$20,0),6),0),0)</f>
        <v>-0.1</v>
      </c>
      <c r="T11" s="23">
        <f>IF($G11="Faltante",IFERROR($C11*INDEX(Aux_Sensibilidad!$C$5:$I$20,MATCH($C$23&amp;"|"&amp;"SAFe",Aux_Sensibilidad!$B$5:$B$20,0),6),0),0)</f>
        <v>0</v>
      </c>
      <c r="U11" s="23">
        <f>IF($G11="Faltante",IFERROR($C11*INDEX(Aux_Sensibilidad!$C$5:$I$20,MATCH($C$23&amp;"|"&amp;"Disciplined Agile",Aux_Sensibilidad!$B$5:$B$20,0),6),0),0)</f>
        <v>-0.4</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t="s">
        <v>258</v>
      </c>
      <c r="F12" s="13" t="s">
        <v>88</v>
      </c>
      <c r="G12" s="13" t="s">
        <v>259</v>
      </c>
      <c r="H12" s="19" t="s">
        <v>260</v>
      </c>
      <c r="I12" s="9" t="str">
        <f t="shared" si="1"/>
        <v>Media</v>
      </c>
      <c r="J12" s="22">
        <f>IF($G12="Faltante",PUNTAJE_NEUTRO,IF($I12="","",INDEX('2_Escalas_Reglas'!$E$15:$E$37,MATCH($A12&amp;"|"&amp;$I12,'2_Escalas_Reglas'!$A$15:$A$37,0))))</f>
        <v>3</v>
      </c>
      <c r="K12" s="22">
        <f>IF($G12="Faltante",PUNTAJE_NEUTRO,IF($I12="","",INDEX('2_Escalas_Reglas'!$F$15:$F$37,MATCH($A12&amp;"|"&amp;$I12,'2_Escalas_Reglas'!$A$15:$A$37,0))))</f>
        <v>3</v>
      </c>
      <c r="L12" s="22">
        <f>IF($G12="Faltante",PUNTAJE_NEUTRO,IF($I12="","",INDEX('2_Escalas_Reglas'!$G$15:$G$37,MATCH($A12&amp;"|"&amp;$I12,'2_Escalas_Reglas'!$A$15:$A$37,0))))</f>
        <v>4</v>
      </c>
      <c r="M12" s="22">
        <f>IF($G12="Faltante",PUNTAJE_NEUTRO,IF($I12="","",INDEX('2_Escalas_Reglas'!$H$15:$H$37,MATCH($A12&amp;"|"&amp;$I12,'2_Escalas_Reglas'!$A$15:$A$37,0))))</f>
        <v>4</v>
      </c>
      <c r="N12" s="23">
        <f t="shared" si="0"/>
        <v>0.44999999999999996</v>
      </c>
      <c r="O12" s="23">
        <f t="shared" si="0"/>
        <v>0.44999999999999996</v>
      </c>
      <c r="P12" s="23">
        <f t="shared" si="0"/>
        <v>0.6</v>
      </c>
      <c r="Q12" s="23">
        <f t="shared" si="0"/>
        <v>0.6</v>
      </c>
      <c r="R12" s="23">
        <f>IF($G12="Faltante",IFERROR($C12*INDEX(Aux_Sensibilidad!$C$5:$I$20,MATCH($C$23&amp;"|"&amp;"Nexus",Aux_Sensibilidad!$B$5:$B$20,0),7),0),0)</f>
        <v>0</v>
      </c>
      <c r="S12" s="23">
        <f>IF($G12="Faltante",IFERROR($C12*INDEX(Aux_Sensibilidad!$C$5:$I$20,MATCH($C$23&amp;"|"&amp;"LeSS",Aux_Sensibilidad!$B$5:$B$20,0),7),0),0)</f>
        <v>0</v>
      </c>
      <c r="T12" s="23">
        <f>IF($G12="Faltante",IFERROR($C12*INDEX(Aux_Sensibilidad!$C$5:$I$20,MATCH($C$23&amp;"|"&amp;"SAFe",Aux_Sensibilidad!$B$5:$B$20,0),7),0),0)</f>
        <v>0</v>
      </c>
      <c r="U12" s="23">
        <f>IF($G12="Faltante",IFERROR($C12*INDEX(Aux_Sensibilidad!$C$5:$I$20,MATCH($C$23&amp;"|"&amp;"Disciplined Agile",Aux_Sensibilidad!$B$5:$B$20,0),7),0),0)</f>
        <v>0</v>
      </c>
    </row>
    <row r="13" spans="1:21" x14ac:dyDescent="0.55000000000000004">
      <c r="I13" s="2" t="s">
        <v>220</v>
      </c>
      <c r="N13" s="24">
        <f t="shared" ref="N13:U13" si="2">SUM(N6:N12)</f>
        <v>1.7</v>
      </c>
      <c r="O13" s="24">
        <f t="shared" si="2"/>
        <v>2.0999999999999996</v>
      </c>
      <c r="P13" s="24">
        <f t="shared" si="2"/>
        <v>4.5999999999999996</v>
      </c>
      <c r="Q13" s="24">
        <f t="shared" si="2"/>
        <v>3.1999999999999997</v>
      </c>
      <c r="R13" s="25">
        <f t="shared" si="2"/>
        <v>0</v>
      </c>
      <c r="S13" s="25">
        <f t="shared" si="2"/>
        <v>-0.1</v>
      </c>
      <c r="T13" s="25">
        <f t="shared" si="2"/>
        <v>0</v>
      </c>
      <c r="U13" s="25">
        <f t="shared" si="2"/>
        <v>-0.4</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1.7</v>
      </c>
      <c r="C17" s="7" t="str">
        <f>IF(SUMPRODUCT(($D$6:$D$12="Sí")*(J$6:J$12=0)*($G$6:$G$12&lt;&gt;"Faltante"))&gt;0,"Sí","No")</f>
        <v>No</v>
      </c>
      <c r="D17" s="13" t="s">
        <v>53</v>
      </c>
      <c r="E17" s="19"/>
      <c r="F17" s="7" t="str">
        <f>IF(OR(C17="Sí",D17="Sí"),"Excluido","Elegible")</f>
        <v>Elegible</v>
      </c>
      <c r="G17" s="6">
        <f>IF(F17="Excluido",-1,B17)</f>
        <v>1.7</v>
      </c>
      <c r="H17" s="7">
        <f>IF(F17="Excluido","—",RANK(G17,$G$17:$G$20))</f>
        <v>4</v>
      </c>
      <c r="I17" s="7">
        <f>COUNTIF(J$6:J$12,"&lt;=1")</f>
        <v>3</v>
      </c>
      <c r="J17" s="6">
        <f>SUMIF($D$6:$D$12,"Sí",N$6:N$12)</f>
        <v>0.79999999999999993</v>
      </c>
      <c r="K17" s="7">
        <v>4</v>
      </c>
      <c r="L17" s="7" t="b">
        <f>AND(F17="Elegible",ROUND(B17,4)&gt;=ROUND($C$22-UMBRAL_EMPATE,4))</f>
        <v>0</v>
      </c>
      <c r="M17" s="27">
        <f>IF(L17,10000-I17*1000+J17*100+K17,-1)</f>
        <v>-1</v>
      </c>
      <c r="N17" s="6">
        <f>IF(OR(F17="Excluido",A17=$C$23),"—",INDEX($B$17:$B$20,MATCH($C$23,$A$17:$A$20,0))-B17)</f>
        <v>2.8999999999999995</v>
      </c>
      <c r="O17" s="6">
        <f>R13</f>
        <v>0</v>
      </c>
      <c r="P17" s="6">
        <f>IF(OR(F17="Excluido",A17=$C$23),"—",N17+O17)</f>
        <v>2.8999999999999995</v>
      </c>
    </row>
    <row r="18" spans="1:16" x14ac:dyDescent="0.55000000000000004">
      <c r="A18" s="20" t="s">
        <v>17</v>
      </c>
      <c r="B18" s="26">
        <f>O13</f>
        <v>2.0999999999999996</v>
      </c>
      <c r="C18" s="7" t="str">
        <f>IF(SUMPRODUCT(($D$6:$D$12="Sí")*(K$6:K$12=0)*($G$6:$G$12&lt;&gt;"Faltante"))&gt;0,"Sí","No")</f>
        <v>No</v>
      </c>
      <c r="D18" s="13" t="s">
        <v>53</v>
      </c>
      <c r="E18" s="19"/>
      <c r="F18" s="7" t="str">
        <f>IF(OR(C18="Sí",D18="Sí"),"Excluido","Elegible")</f>
        <v>Elegible</v>
      </c>
      <c r="G18" s="6">
        <f>IF(F18="Excluido",-1,B18)</f>
        <v>2.0999999999999996</v>
      </c>
      <c r="H18" s="7">
        <f>IF(F18="Excluido","—",RANK(G18,$G$17:$G$20))</f>
        <v>3</v>
      </c>
      <c r="I18" s="7">
        <f>COUNTIF(K$6:K$12,"&lt;=1")</f>
        <v>2</v>
      </c>
      <c r="J18" s="6">
        <f>SUMIF($D$6:$D$12,"Sí",O$6:O$12)</f>
        <v>1.2999999999999998</v>
      </c>
      <c r="K18" s="7">
        <v>3</v>
      </c>
      <c r="L18" s="7" t="b">
        <f>AND(F18="Elegible",ROUND(B18,4)&gt;=ROUND($C$22-UMBRAL_EMPATE,4))</f>
        <v>0</v>
      </c>
      <c r="M18" s="27">
        <f>IF(L18,10000-I18*1000+J18*100+K18,-1)</f>
        <v>-1</v>
      </c>
      <c r="N18" s="6">
        <f>IF(OR(F18="Excluido",A18=$C$23),"—",INDEX($B$17:$B$20,MATCH($C$23,$A$17:$A$20,0))-B18)</f>
        <v>2.5</v>
      </c>
      <c r="O18" s="6">
        <f>S13</f>
        <v>-0.1</v>
      </c>
      <c r="P18" s="6">
        <f>IF(OR(F18="Excluido",A18=$C$23),"—",N18+O18)</f>
        <v>2.4</v>
      </c>
    </row>
    <row r="19" spans="1:16" x14ac:dyDescent="0.55000000000000004">
      <c r="A19" s="20" t="s">
        <v>18</v>
      </c>
      <c r="B19" s="26">
        <f>P13</f>
        <v>4.5999999999999996</v>
      </c>
      <c r="C19" s="7" t="str">
        <f>IF(SUMPRODUCT(($D$6:$D$12="Sí")*(L$6:L$12=0)*($G$6:$G$12&lt;&gt;"Faltante"))&gt;0,"Sí","No")</f>
        <v>No</v>
      </c>
      <c r="D19" s="13" t="s">
        <v>53</v>
      </c>
      <c r="E19" s="19"/>
      <c r="F19" s="7" t="str">
        <f>IF(OR(C19="Sí",D19="Sí"),"Excluido","Elegible")</f>
        <v>Elegible</v>
      </c>
      <c r="G19" s="6">
        <f>IF(F19="Excluido",-1,B19)</f>
        <v>4.5999999999999996</v>
      </c>
      <c r="H19" s="7">
        <f>IF(F19="Excluido","—",RANK(G19,$G$17:$G$20))</f>
        <v>1</v>
      </c>
      <c r="I19" s="7">
        <f>COUNTIF(L$6:L$12,"&lt;=1")</f>
        <v>0</v>
      </c>
      <c r="J19" s="6">
        <f>SUMIF($D$6:$D$12,"Sí",P$6:P$12)</f>
        <v>2.35</v>
      </c>
      <c r="K19" s="7">
        <v>1</v>
      </c>
      <c r="L19" s="7" t="b">
        <f>AND(F19="Elegible",ROUND(B19,4)&gt;=ROUND($C$22-UMBRAL_EMPATE,4))</f>
        <v>1</v>
      </c>
      <c r="M19" s="27">
        <f>IF(L19,10000-I19*1000+J19*100+K19,-1)</f>
        <v>10236</v>
      </c>
      <c r="N19" s="6" t="str">
        <f>IF(OR(F19="Excluido",A19=$C$23),"—",INDEX($B$17:$B$20,MATCH($C$23,$A$17:$A$20,0))-B19)</f>
        <v>—</v>
      </c>
      <c r="O19" s="6">
        <f>T13</f>
        <v>0</v>
      </c>
      <c r="P19" s="6" t="str">
        <f>IF(OR(F19="Excluido",A19=$C$23),"—",N19+O19)</f>
        <v>—</v>
      </c>
    </row>
    <row r="20" spans="1:16" ht="28.8" x14ac:dyDescent="0.55000000000000004">
      <c r="A20" s="20" t="s">
        <v>202</v>
      </c>
      <c r="B20" s="26">
        <f>Q13</f>
        <v>3.1999999999999997</v>
      </c>
      <c r="C20" s="7" t="str">
        <f>IF(SUMPRODUCT(($D$6:$D$12="Sí")*(M$6:M$12=0)*($G$6:$G$12&lt;&gt;"Faltante"))&gt;0,"Sí","No")</f>
        <v>No</v>
      </c>
      <c r="D20" s="13" t="s">
        <v>53</v>
      </c>
      <c r="E20" s="19"/>
      <c r="F20" s="7" t="str">
        <f>IF(OR(C20="Sí",D20="Sí"),"Excluido","Elegible")</f>
        <v>Elegible</v>
      </c>
      <c r="G20" s="6">
        <f>IF(F20="Excluido",-1,B20)</f>
        <v>3.1999999999999997</v>
      </c>
      <c r="H20" s="7">
        <f>IF(F20="Excluido","—",RANK(G20,$G$17:$G$20))</f>
        <v>2</v>
      </c>
      <c r="I20" s="7">
        <f>COUNTIF(M$6:M$12,"&lt;=1")</f>
        <v>0</v>
      </c>
      <c r="J20" s="6">
        <f>SUMIF($D$6:$D$12,"Sí",Q$6:Q$12)</f>
        <v>1.65</v>
      </c>
      <c r="K20" s="7">
        <v>2</v>
      </c>
      <c r="L20" s="7" t="b">
        <f>AND(F20="Elegible",ROUND(B20,4)&gt;=ROUND($C$22-UMBRAL_EMPATE,4))</f>
        <v>0</v>
      </c>
      <c r="M20" s="27">
        <f>IF(L20,10000-I20*1000+J20*100+K20,-1)</f>
        <v>-1</v>
      </c>
      <c r="N20" s="6">
        <f>IF(OR(F20="Excluido",A20=$C$23),"—",INDEX($B$17:$B$20,MATCH($C$23,$A$17:$A$20,0))-B20)</f>
        <v>1.4</v>
      </c>
      <c r="O20" s="6">
        <f>U13</f>
        <v>-0.4</v>
      </c>
      <c r="P20" s="6">
        <f>IF(OR(F20="Excluido",A20=$C$23),"—",N20+O20)</f>
        <v>0.99999999999999989</v>
      </c>
    </row>
    <row r="22" spans="1:16" ht="18" customHeight="1" x14ac:dyDescent="0.55000000000000004">
      <c r="A22" s="35" t="s">
        <v>238</v>
      </c>
      <c r="B22" s="29"/>
      <c r="C22" s="33">
        <f>MAX(G17:G20)</f>
        <v>4.5999999999999996</v>
      </c>
      <c r="D22" s="29"/>
      <c r="E22" s="29"/>
      <c r="F22" s="29"/>
      <c r="G22" s="29"/>
      <c r="H22" s="29"/>
    </row>
    <row r="23" spans="1:16" ht="18" customHeight="1" x14ac:dyDescent="0.55000000000000004">
      <c r="A23" s="35" t="s">
        <v>239</v>
      </c>
      <c r="B23" s="29"/>
      <c r="C23" s="37" t="str">
        <f>IF(MAX(M17:M20)&lt;0,"Ninguno compatible",INDEX(A17:A20,MATCH(MAX(M17:M20),M17:M20,0)))</f>
        <v>SAFe</v>
      </c>
      <c r="D23" s="29"/>
      <c r="E23" s="29"/>
      <c r="F23" s="29"/>
      <c r="G23" s="29"/>
      <c r="H23" s="29"/>
    </row>
    <row r="24" spans="1:16" ht="18" customHeight="1" x14ac:dyDescent="0.55000000000000004">
      <c r="A24" s="35" t="s">
        <v>240</v>
      </c>
      <c r="B24" s="29"/>
      <c r="C24" s="33">
        <f>IFERROR(INDEX(B17:B20,MATCH(C23,A17:A20,0)),"—")</f>
        <v>4.5999999999999996</v>
      </c>
      <c r="D24" s="29"/>
      <c r="E24" s="29"/>
      <c r="F24" s="29"/>
      <c r="G24" s="29"/>
      <c r="H24" s="29"/>
    </row>
    <row r="25" spans="1:16" ht="18" customHeight="1" x14ac:dyDescent="0.55000000000000004">
      <c r="A25" s="35" t="s">
        <v>241</v>
      </c>
      <c r="B25" s="29"/>
      <c r="C25" s="36" t="str">
        <f>IFERROR(INDEX(A17:A20,MATCH(LARGE(G17:G20,2),G17:G20,0)),"—")</f>
        <v>Disciplined Agile</v>
      </c>
      <c r="D25" s="29"/>
      <c r="E25" s="29"/>
      <c r="F25" s="29"/>
      <c r="G25" s="29"/>
      <c r="H25" s="29"/>
    </row>
    <row r="26" spans="1:16" ht="18" customHeight="1" x14ac:dyDescent="0.55000000000000004">
      <c r="A26" s="35" t="s">
        <v>242</v>
      </c>
      <c r="B26" s="29"/>
      <c r="C26" s="33">
        <f>IF(LARGE(G17:G20,2)&lt;0,"—",LARGE(G17:G20,1)-LARGE(G17:G20,2))</f>
        <v>1.4</v>
      </c>
      <c r="D26" s="29"/>
      <c r="E26" s="29"/>
      <c r="F26" s="29"/>
      <c r="G26" s="29"/>
      <c r="H26" s="29"/>
    </row>
    <row r="27" spans="1:16" ht="18" customHeight="1" x14ac:dyDescent="0.55000000000000004">
      <c r="A27" s="35" t="s">
        <v>22</v>
      </c>
      <c r="B27" s="29"/>
      <c r="C27" s="36" t="str">
        <f>IF(COUNTIF(L17:L20,TRUE)&gt;1,"Sí: se aplicó la regla R6 de desempate","No")</f>
        <v>No</v>
      </c>
      <c r="D27" s="29"/>
      <c r="E27" s="29"/>
      <c r="F27" s="29"/>
      <c r="G27" s="29"/>
      <c r="H27" s="29"/>
    </row>
    <row r="28" spans="1:16" ht="18" customHeight="1" x14ac:dyDescent="0.55000000000000004">
      <c r="A28" s="35" t="s">
        <v>243</v>
      </c>
      <c r="B28" s="29"/>
      <c r="C28" s="39">
        <f>SUMIF(G6:G12,"Explícito",C6:C12)</f>
        <v>0.75</v>
      </c>
      <c r="D28" s="29"/>
      <c r="E28" s="29"/>
      <c r="F28" s="29"/>
      <c r="G28" s="29"/>
      <c r="H28" s="29"/>
    </row>
    <row r="29" spans="1:16" ht="18" customHeight="1" x14ac:dyDescent="0.55000000000000004">
      <c r="A29" s="35" t="s">
        <v>244</v>
      </c>
      <c r="B29" s="29"/>
      <c r="C29" s="39">
        <f>SUMIF(G6:G12,"Inferido",C6:C12)</f>
        <v>0.15</v>
      </c>
      <c r="D29" s="29"/>
      <c r="E29" s="29"/>
      <c r="F29" s="29"/>
      <c r="G29" s="29"/>
      <c r="H29" s="29"/>
    </row>
    <row r="30" spans="1:16" ht="18" customHeight="1" x14ac:dyDescent="0.55000000000000004">
      <c r="A30" s="35" t="s">
        <v>245</v>
      </c>
      <c r="B30" s="29"/>
      <c r="C30" s="39">
        <f>SUMIF(G6:G12,"Faltante",C6:C12)</f>
        <v>0.1</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Robusta: ningún valor posible de los datos faltantes cambia la recomendación</v>
      </c>
      <c r="D31" s="29"/>
      <c r="E31" s="29"/>
      <c r="F31" s="29"/>
      <c r="G31" s="29"/>
      <c r="H31" s="29"/>
    </row>
    <row r="32" spans="1:16" ht="30" customHeight="1" x14ac:dyDescent="0.55000000000000004">
      <c r="A32" s="35" t="s">
        <v>247</v>
      </c>
      <c r="B32" s="29"/>
      <c r="C32" s="38" t="s">
        <v>18</v>
      </c>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9" priority="1" operator="equal">
      <formula>"Excluido"</formula>
    </cfRule>
  </conditionalFormatting>
  <conditionalFormatting sqref="P17:P20">
    <cfRule type="expression" dxfId="8" priority="2">
      <formula>AND(ISNUMBER(P17),P17&lt;=0)</formula>
    </cfRule>
  </conditionalFormatting>
  <dataValidations count="8">
    <dataValidation type="list" allowBlank="1" sqref="G6 G7 G8 G9 G10 G11 G12" xr:uid="{00000000-0002-0000-0700-000000000000}">
      <formula1>"Explícito,Inferido,Faltante"</formula1>
    </dataValidation>
    <dataValidation type="whole" operator="greaterThanOrEqual" allowBlank="1" sqref="F6" xr:uid="{00000000-0002-0000-0700-000001000000}">
      <formula1>1</formula1>
    </dataValidation>
    <dataValidation type="list" allowBlank="1" sqref="F7" xr:uid="{00000000-0002-0000-0700-000002000000}">
      <formula1>"Un solo producto,Varias soluciones interdependientes,Productos o proyectos independientes"</formula1>
    </dataValidation>
    <dataValidation type="list" allowBlank="1" sqref="F8" xr:uid="{00000000-0002-0000-0700-000003000000}">
      <formula1>"Bajas,Medias,Altas"</formula1>
    </dataValidation>
    <dataValidation type="list" allowBlank="1" sqref="F9" xr:uid="{00000000-0002-0000-0700-000004000000}">
      <formula1>"Ligera,Variable por contrato o cliente,Regulatoria formal"</formula1>
    </dataValidation>
    <dataValidation type="list" allowBlank="1" sqref="F10" xr:uid="{00000000-0002-0000-0700-000005000000}">
      <formula1>"Bajo,Medio,Alto"</formula1>
    </dataValidation>
    <dataValidation type="list" allowBlank="1" sqref="F11:F12" xr:uid="{00000000-0002-0000-0700-000006000000}">
      <formula1>"Baja,Media,Alta"</formula1>
    </dataValidation>
    <dataValidation type="list" sqref="D17 D18 D19 D20" xr:uid="{00000000-0002-0000-0700-000008000000}">
      <formula1>"Sí,No"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26</v>
      </c>
    </row>
    <row r="2" spans="1:21" ht="60" customHeight="1" x14ac:dyDescent="0.55000000000000004">
      <c r="A2" s="2" t="s">
        <v>204</v>
      </c>
      <c r="B2" s="38" t="s">
        <v>261</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t="s">
        <v>262</v>
      </c>
      <c r="F6" s="13">
        <v>25</v>
      </c>
      <c r="G6" s="13" t="s">
        <v>250</v>
      </c>
      <c r="H6" s="19"/>
      <c r="I6" s="9" t="str">
        <f>IF(G6="Faltante","(faltante)",IF(F6="","",IF(F6&lt;=3,"1 a 3 equipos",IF(F6&lt;=9,"4 a 9 equipos",IF(F6&lt;=15,"10 a 15 equipos",IF(F6&lt;=50,"16 a 50 equipos","Más de 50 equipos"))))))</f>
        <v>16 a 50 equipos</v>
      </c>
      <c r="J6" s="22">
        <f>IF($G6="Faltante",PUNTAJE_NEUTRO,IF($I6="","",INDEX('2_Escalas_Reglas'!$E$15:$E$37,MATCH($A6&amp;"|"&amp;$I6,'2_Escalas_Reglas'!$A$15:$A$37,0))))</f>
        <v>1</v>
      </c>
      <c r="K6" s="22">
        <f>IF($G6="Faltante",PUNTAJE_NEUTRO,IF($I6="","",INDEX('2_Escalas_Reglas'!$F$15:$F$37,MATCH($A6&amp;"|"&amp;$I6,'2_Escalas_Reglas'!$A$15:$A$37,0))))</f>
        <v>3</v>
      </c>
      <c r="L6" s="22">
        <f>IF($G6="Faltante",PUNTAJE_NEUTRO,IF($I6="","",INDEX('2_Escalas_Reglas'!$G$15:$G$37,MATCH($A6&amp;"|"&amp;$I6,'2_Escalas_Reglas'!$A$15:$A$37,0))))</f>
        <v>5</v>
      </c>
      <c r="M6" s="22">
        <f>IF($G6="Faltante",PUNTAJE_NEUTRO,IF($I6="","",INDEX('2_Escalas_Reglas'!$H$15:$H$37,MATCH($A6&amp;"|"&amp;$I6,'2_Escalas_Reglas'!$A$15:$A$37,0))))</f>
        <v>3</v>
      </c>
      <c r="N6" s="23">
        <f t="shared" ref="N6:Q12" si="0">IF(J6="","",$C6*J6)</f>
        <v>0.15</v>
      </c>
      <c r="O6" s="23">
        <f t="shared" si="0"/>
        <v>0.44999999999999996</v>
      </c>
      <c r="P6" s="23">
        <f t="shared" si="0"/>
        <v>0.75</v>
      </c>
      <c r="Q6" s="23">
        <f t="shared" si="0"/>
        <v>0.44999999999999996</v>
      </c>
      <c r="R6" s="23">
        <f>IF($G6="Faltante",IFERROR($C6*INDEX(Aux_Sensibilidad!$C$5:$I$20,MATCH($C$23&amp;"|"&amp;"Nexus",Aux_Sensibilidad!$B$5:$B$20,0),1),0),0)</f>
        <v>0</v>
      </c>
      <c r="S6" s="23">
        <f>IF($G6="Faltante",IFERROR($C6*INDEX(Aux_Sensibilidad!$C$5:$I$20,MATCH($C$23&amp;"|"&amp;"LeSS",Aux_Sensibilidad!$B$5:$B$20,0),1),0),0)</f>
        <v>0</v>
      </c>
      <c r="T6" s="23">
        <f>IF($G6="Faltante",IFERROR($C6*INDEX(Aux_Sensibilidad!$C$5:$I$20,MATCH($C$23&amp;"|"&amp;"SAFe",Aux_Sensibilidad!$B$5:$B$20,0),1),0),0)</f>
        <v>0</v>
      </c>
      <c r="U6" s="23">
        <f>IF($G6="Faltante",IFERROR($C6*INDEX(Aux_Sensibilidad!$C$5:$I$20,MATCH($C$23&amp;"|"&amp;"Disciplined Agile",Aux_Sensibilidad!$B$5:$B$20,0),1),0),0)</f>
        <v>0</v>
      </c>
    </row>
    <row r="7" spans="1:21" ht="60" customHeight="1" x14ac:dyDescent="0.55000000000000004">
      <c r="A7" s="20" t="s">
        <v>45</v>
      </c>
      <c r="B7" s="9" t="str">
        <f>'1_Criterios_Pesos'!B6</f>
        <v>Estructura de producto o solución</v>
      </c>
      <c r="C7" s="21">
        <f>'1_Criterios_Pesos'!D6</f>
        <v>0.2</v>
      </c>
      <c r="D7" s="7" t="str">
        <f>'1_Criterios_Pesos'!E6</f>
        <v>Sí</v>
      </c>
      <c r="E7" s="19" t="s">
        <v>263</v>
      </c>
      <c r="F7" s="13" t="s">
        <v>118</v>
      </c>
      <c r="G7" s="13" t="s">
        <v>250</v>
      </c>
      <c r="H7" s="19"/>
      <c r="I7" s="9" t="str">
        <f t="shared" ref="I7:I12" si="1">IF(G7="Faltante","(faltante)",IF(F7="","",F7))</f>
        <v>Varias soluciones interdependientes</v>
      </c>
      <c r="J7" s="22">
        <f>IF($G7="Faltante",PUNTAJE_NEUTRO,IF($I7="","",INDEX('2_Escalas_Reglas'!$E$15:$E$37,MATCH($A7&amp;"|"&amp;$I7,'2_Escalas_Reglas'!$A$15:$A$37,0))))</f>
        <v>1</v>
      </c>
      <c r="K7" s="22">
        <f>IF($G7="Faltante",PUNTAJE_NEUTRO,IF($I7="","",INDEX('2_Escalas_Reglas'!$F$15:$F$37,MATCH($A7&amp;"|"&amp;$I7,'2_Escalas_Reglas'!$A$15:$A$37,0))))</f>
        <v>2</v>
      </c>
      <c r="L7" s="22">
        <f>IF($G7="Faltante",PUNTAJE_NEUTRO,IF($I7="","",INDEX('2_Escalas_Reglas'!$G$15:$G$37,MATCH($A7&amp;"|"&amp;$I7,'2_Escalas_Reglas'!$A$15:$A$37,0))))</f>
        <v>5</v>
      </c>
      <c r="M7" s="22">
        <f>IF($G7="Faltante",PUNTAJE_NEUTRO,IF($I7="","",INDEX('2_Escalas_Reglas'!$H$15:$H$37,MATCH($A7&amp;"|"&amp;$I7,'2_Escalas_Reglas'!$A$15:$A$37,0))))</f>
        <v>3</v>
      </c>
      <c r="N7" s="23">
        <f t="shared" si="0"/>
        <v>0.2</v>
      </c>
      <c r="O7" s="23">
        <f t="shared" si="0"/>
        <v>0.4</v>
      </c>
      <c r="P7" s="23">
        <f t="shared" si="0"/>
        <v>1</v>
      </c>
      <c r="Q7" s="23">
        <f t="shared" si="0"/>
        <v>0.60000000000000009</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t="s">
        <v>264</v>
      </c>
      <c r="F8" s="13" t="s">
        <v>130</v>
      </c>
      <c r="G8" s="13" t="s">
        <v>250</v>
      </c>
      <c r="H8" s="19"/>
      <c r="I8" s="9" t="str">
        <f t="shared" si="1"/>
        <v>Altas</v>
      </c>
      <c r="J8" s="22">
        <f>IF($G8="Faltante",PUNTAJE_NEUTRO,IF($I8="","",INDEX('2_Escalas_Reglas'!$E$15:$E$37,MATCH($A8&amp;"|"&amp;$I8,'2_Escalas_Reglas'!$A$15:$A$37,0))))</f>
        <v>2</v>
      </c>
      <c r="K8" s="22">
        <f>IF($G8="Faltante",PUNTAJE_NEUTRO,IF($I8="","",INDEX('2_Escalas_Reglas'!$F$15:$F$37,MATCH($A8&amp;"|"&amp;$I8,'2_Escalas_Reglas'!$A$15:$A$37,0))))</f>
        <v>2</v>
      </c>
      <c r="L8" s="22">
        <f>IF($G8="Faltante",PUNTAJE_NEUTRO,IF($I8="","",INDEX('2_Escalas_Reglas'!$G$15:$G$37,MATCH($A8&amp;"|"&amp;$I8,'2_Escalas_Reglas'!$A$15:$A$37,0))))</f>
        <v>5</v>
      </c>
      <c r="M8" s="22">
        <f>IF($G8="Faltante",PUNTAJE_NEUTRO,IF($I8="","",INDEX('2_Escalas_Reglas'!$H$15:$H$37,MATCH($A8&amp;"|"&amp;$I8,'2_Escalas_Reglas'!$A$15:$A$37,0))))</f>
        <v>3</v>
      </c>
      <c r="N8" s="23">
        <f t="shared" si="0"/>
        <v>0.3</v>
      </c>
      <c r="O8" s="23">
        <f t="shared" si="0"/>
        <v>0.3</v>
      </c>
      <c r="P8" s="23">
        <f t="shared" si="0"/>
        <v>0.75</v>
      </c>
      <c r="Q8" s="23">
        <f t="shared" si="0"/>
        <v>0.44999999999999996</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t="s">
        <v>265</v>
      </c>
      <c r="F9" s="13" t="s">
        <v>139</v>
      </c>
      <c r="G9" s="13" t="s">
        <v>259</v>
      </c>
      <c r="H9" s="19" t="s">
        <v>266</v>
      </c>
      <c r="I9" s="9" t="str">
        <f t="shared" si="1"/>
        <v>Regulatoria formal</v>
      </c>
      <c r="J9" s="22">
        <f>IF($G9="Faltante",PUNTAJE_NEUTRO,IF($I9="","",INDEX('2_Escalas_Reglas'!$E$15:$E$37,MATCH($A9&amp;"|"&amp;$I9,'2_Escalas_Reglas'!$A$15:$A$37,0))))</f>
        <v>2</v>
      </c>
      <c r="K9" s="22">
        <f>IF($G9="Faltante",PUNTAJE_NEUTRO,IF($I9="","",INDEX('2_Escalas_Reglas'!$F$15:$F$37,MATCH($A9&amp;"|"&amp;$I9,'2_Escalas_Reglas'!$A$15:$A$37,0))))</f>
        <v>1</v>
      </c>
      <c r="L9" s="22">
        <f>IF($G9="Faltante",PUNTAJE_NEUTRO,IF($I9="","",INDEX('2_Escalas_Reglas'!$G$15:$G$37,MATCH($A9&amp;"|"&amp;$I9,'2_Escalas_Reglas'!$A$15:$A$37,0))))</f>
        <v>5</v>
      </c>
      <c r="M9" s="22">
        <f>IF($G9="Faltante",PUNTAJE_NEUTRO,IF($I9="","",INDEX('2_Escalas_Reglas'!$H$15:$H$37,MATCH($A9&amp;"|"&amp;$I9,'2_Escalas_Reglas'!$A$15:$A$37,0))))</f>
        <v>4</v>
      </c>
      <c r="N9" s="23">
        <f t="shared" si="0"/>
        <v>0.2</v>
      </c>
      <c r="O9" s="23">
        <f t="shared" si="0"/>
        <v>0.1</v>
      </c>
      <c r="P9" s="23">
        <f t="shared" si="0"/>
        <v>0.5</v>
      </c>
      <c r="Q9" s="23">
        <f t="shared" si="0"/>
        <v>0.4</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t="s">
        <v>267</v>
      </c>
      <c r="F10" s="13" t="s">
        <v>148</v>
      </c>
      <c r="G10" s="13" t="s">
        <v>250</v>
      </c>
      <c r="H10" s="19"/>
      <c r="I10" s="9" t="str">
        <f t="shared" si="1"/>
        <v>Alto</v>
      </c>
      <c r="J10" s="22">
        <f>IF($G10="Faltante",PUNTAJE_NEUTRO,IF($I10="","",INDEX('2_Escalas_Reglas'!$E$15:$E$37,MATCH($A10&amp;"|"&amp;$I10,'2_Escalas_Reglas'!$A$15:$A$37,0))))</f>
        <v>1</v>
      </c>
      <c r="K10" s="22">
        <f>IF($G10="Faltante",PUNTAJE_NEUTRO,IF($I10="","",INDEX('2_Escalas_Reglas'!$F$15:$F$37,MATCH($A10&amp;"|"&amp;$I10,'2_Escalas_Reglas'!$A$15:$A$37,0))))</f>
        <v>1</v>
      </c>
      <c r="L10" s="22">
        <f>IF($G10="Faltante",PUNTAJE_NEUTRO,IF($I10="","",INDEX('2_Escalas_Reglas'!$G$15:$G$37,MATCH($A10&amp;"|"&amp;$I10,'2_Escalas_Reglas'!$A$15:$A$37,0))))</f>
        <v>5</v>
      </c>
      <c r="M10" s="22">
        <f>IF($G10="Faltante",PUNTAJE_NEUTRO,IF($I10="","",INDEX('2_Escalas_Reglas'!$H$15:$H$37,MATCH($A10&amp;"|"&amp;$I10,'2_Escalas_Reglas'!$A$15:$A$37,0))))</f>
        <v>3</v>
      </c>
      <c r="N10" s="23">
        <f t="shared" si="0"/>
        <v>0.15</v>
      </c>
      <c r="O10" s="23">
        <f t="shared" si="0"/>
        <v>0.15</v>
      </c>
      <c r="P10" s="23">
        <f t="shared" si="0"/>
        <v>0.75</v>
      </c>
      <c r="Q10" s="23">
        <f t="shared" si="0"/>
        <v>0.44999999999999996</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v>
      </c>
      <c r="U10" s="23">
        <f>IF($G10="Faltante",IFERROR($C10*INDEX(Aux_Sensibilidad!$C$5:$I$20,MATCH($C$23&amp;"|"&amp;"Disciplined Agile",Aux_Sensibilidad!$B$5:$B$20,0),5),0),0)</f>
        <v>0</v>
      </c>
    </row>
    <row r="11" spans="1:21" ht="60" customHeight="1" x14ac:dyDescent="0.55000000000000004">
      <c r="A11" s="20" t="s">
        <v>66</v>
      </c>
      <c r="B11" s="9" t="str">
        <f>'1_Criterios_Pesos'!B10</f>
        <v>Autonomía y adaptación del proceso</v>
      </c>
      <c r="C11" s="21">
        <f>'1_Criterios_Pesos'!D10</f>
        <v>0.1</v>
      </c>
      <c r="D11" s="7" t="str">
        <f>'1_Criterios_Pesos'!E10</f>
        <v>No</v>
      </c>
      <c r="E11" s="19" t="s">
        <v>268</v>
      </c>
      <c r="F11" s="13"/>
      <c r="G11" s="13" t="s">
        <v>256</v>
      </c>
      <c r="H11" s="19" t="s">
        <v>269</v>
      </c>
      <c r="I11" s="9" t="str">
        <f t="shared" si="1"/>
        <v>(faltante)</v>
      </c>
      <c r="J11" s="22">
        <f>IF($G11="Faltante",PUNTAJE_NEUTRO,IF($I11="","",INDEX('2_Escalas_Reglas'!$E$15:$E$37,MATCH($A11&amp;"|"&amp;$I11,'2_Escalas_Reglas'!$A$15:$A$37,0))))</f>
        <v>2.5</v>
      </c>
      <c r="K11" s="22">
        <f>IF($G11="Faltante",PUNTAJE_NEUTRO,IF($I11="","",INDEX('2_Escalas_Reglas'!$F$15:$F$37,MATCH($A11&amp;"|"&amp;$I11,'2_Escalas_Reglas'!$A$15:$A$37,0))))</f>
        <v>2.5</v>
      </c>
      <c r="L11" s="22">
        <f>IF($G11="Faltante",PUNTAJE_NEUTRO,IF($I11="","",INDEX('2_Escalas_Reglas'!$G$15:$G$37,MATCH($A11&amp;"|"&amp;$I11,'2_Escalas_Reglas'!$A$15:$A$37,0))))</f>
        <v>2.5</v>
      </c>
      <c r="M11" s="22">
        <f>IF($G11="Faltante",PUNTAJE_NEUTRO,IF($I11="","",INDEX('2_Escalas_Reglas'!$H$15:$H$37,MATCH($A11&amp;"|"&amp;$I11,'2_Escalas_Reglas'!$A$15:$A$37,0))))</f>
        <v>2.5</v>
      </c>
      <c r="N11" s="23">
        <f t="shared" si="0"/>
        <v>0.25</v>
      </c>
      <c r="O11" s="23">
        <f t="shared" si="0"/>
        <v>0.25</v>
      </c>
      <c r="P11" s="23">
        <f t="shared" si="0"/>
        <v>0.25</v>
      </c>
      <c r="Q11" s="23">
        <f t="shared" si="0"/>
        <v>0.25</v>
      </c>
      <c r="R11" s="23">
        <f>IF($G11="Faltante",IFERROR($C11*INDEX(Aux_Sensibilidad!$C$5:$I$20,MATCH($C$23&amp;"|"&amp;"Nexus",Aux_Sensibilidad!$B$5:$B$20,0),6),0),0)</f>
        <v>0</v>
      </c>
      <c r="S11" s="23">
        <f>IF($G11="Faltante",IFERROR($C11*INDEX(Aux_Sensibilidad!$C$5:$I$20,MATCH($C$23&amp;"|"&amp;"LeSS",Aux_Sensibilidad!$B$5:$B$20,0),6),0),0)</f>
        <v>-0.1</v>
      </c>
      <c r="T11" s="23">
        <f>IF($G11="Faltante",IFERROR($C11*INDEX(Aux_Sensibilidad!$C$5:$I$20,MATCH($C$23&amp;"|"&amp;"SAFe",Aux_Sensibilidad!$B$5:$B$20,0),6),0),0)</f>
        <v>0</v>
      </c>
      <c r="U11" s="23">
        <f>IF($G11="Faltante",IFERROR($C11*INDEX(Aux_Sensibilidad!$C$5:$I$20,MATCH($C$23&amp;"|"&amp;"Disciplined Agile",Aux_Sensibilidad!$B$5:$B$20,0),6),0),0)</f>
        <v>-0.4</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t="s">
        <v>270</v>
      </c>
      <c r="F12" s="13"/>
      <c r="G12" s="13" t="s">
        <v>256</v>
      </c>
      <c r="H12" s="19" t="s">
        <v>269</v>
      </c>
      <c r="I12" s="9" t="str">
        <f t="shared" si="1"/>
        <v>(faltante)</v>
      </c>
      <c r="J12" s="22">
        <f>IF($G12="Faltante",PUNTAJE_NEUTRO,IF($I12="","",INDEX('2_Escalas_Reglas'!$E$15:$E$37,MATCH($A12&amp;"|"&amp;$I12,'2_Escalas_Reglas'!$A$15:$A$37,0))))</f>
        <v>2.5</v>
      </c>
      <c r="K12" s="22">
        <f>IF($G12="Faltante",PUNTAJE_NEUTRO,IF($I12="","",INDEX('2_Escalas_Reglas'!$F$15:$F$37,MATCH($A12&amp;"|"&amp;$I12,'2_Escalas_Reglas'!$A$15:$A$37,0))))</f>
        <v>2.5</v>
      </c>
      <c r="L12" s="22">
        <f>IF($G12="Faltante",PUNTAJE_NEUTRO,IF($I12="","",INDEX('2_Escalas_Reglas'!$G$15:$G$37,MATCH($A12&amp;"|"&amp;$I12,'2_Escalas_Reglas'!$A$15:$A$37,0))))</f>
        <v>2.5</v>
      </c>
      <c r="M12" s="22">
        <f>IF($G12="Faltante",PUNTAJE_NEUTRO,IF($I12="","",INDEX('2_Escalas_Reglas'!$H$15:$H$37,MATCH($A12&amp;"|"&amp;$I12,'2_Escalas_Reglas'!$A$15:$A$37,0))))</f>
        <v>2.5</v>
      </c>
      <c r="N12" s="23">
        <f t="shared" si="0"/>
        <v>0.375</v>
      </c>
      <c r="O12" s="23">
        <f t="shared" si="0"/>
        <v>0.375</v>
      </c>
      <c r="P12" s="23">
        <f t="shared" si="0"/>
        <v>0.375</v>
      </c>
      <c r="Q12" s="23">
        <f t="shared" si="0"/>
        <v>0.375</v>
      </c>
      <c r="R12" s="23">
        <f>IF($G12="Faltante",IFERROR($C12*INDEX(Aux_Sensibilidad!$C$5:$I$20,MATCH($C$23&amp;"|"&amp;"Nexus",Aux_Sensibilidad!$B$5:$B$20,0),7),0),0)</f>
        <v>-0.15</v>
      </c>
      <c r="S12" s="23">
        <f>IF($G12="Faltante",IFERROR($C12*INDEX(Aux_Sensibilidad!$C$5:$I$20,MATCH($C$23&amp;"|"&amp;"LeSS",Aux_Sensibilidad!$B$5:$B$20,0),7),0),0)</f>
        <v>-0.15</v>
      </c>
      <c r="T12" s="23">
        <f>IF($G12="Faltante",IFERROR($C12*INDEX(Aux_Sensibilidad!$C$5:$I$20,MATCH($C$23&amp;"|"&amp;"SAFe",Aux_Sensibilidad!$B$5:$B$20,0),7),0),0)</f>
        <v>0</v>
      </c>
      <c r="U12" s="23">
        <f>IF($G12="Faltante",IFERROR($C12*INDEX(Aux_Sensibilidad!$C$5:$I$20,MATCH($C$23&amp;"|"&amp;"Disciplined Agile",Aux_Sensibilidad!$B$5:$B$20,0),7),0),0)</f>
        <v>-0.44999999999999996</v>
      </c>
    </row>
    <row r="13" spans="1:21" x14ac:dyDescent="0.55000000000000004">
      <c r="I13" s="2" t="s">
        <v>220</v>
      </c>
      <c r="N13" s="24">
        <f t="shared" ref="N13:U13" si="2">SUM(N6:N12)</f>
        <v>1.625</v>
      </c>
      <c r="O13" s="24">
        <f t="shared" si="2"/>
        <v>2.0249999999999999</v>
      </c>
      <c r="P13" s="24">
        <f t="shared" si="2"/>
        <v>4.375</v>
      </c>
      <c r="Q13" s="24">
        <f t="shared" si="2"/>
        <v>2.9749999999999996</v>
      </c>
      <c r="R13" s="25">
        <f t="shared" si="2"/>
        <v>-0.15</v>
      </c>
      <c r="S13" s="25">
        <f t="shared" si="2"/>
        <v>-0.25</v>
      </c>
      <c r="T13" s="25">
        <f t="shared" si="2"/>
        <v>0</v>
      </c>
      <c r="U13" s="25">
        <f t="shared" si="2"/>
        <v>-0.85</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1.625</v>
      </c>
      <c r="C17" s="7" t="str">
        <f>IF(SUMPRODUCT(($D$6:$D$12="Sí")*(J$6:J$12=0)*($G$6:$G$12&lt;&gt;"Faltante"))&gt;0,"Sí","No")</f>
        <v>No</v>
      </c>
      <c r="D17" s="13" t="s">
        <v>53</v>
      </c>
      <c r="E17" s="19"/>
      <c r="F17" s="7" t="str">
        <f>IF(OR(C17="Sí",D17="Sí"),"Excluido","Elegible")</f>
        <v>Elegible</v>
      </c>
      <c r="G17" s="6">
        <f>IF(F17="Excluido",-1,B17)</f>
        <v>1.625</v>
      </c>
      <c r="H17" s="7">
        <f>IF(F17="Excluido","—",RANK(G17,$G$17:$G$20))</f>
        <v>4</v>
      </c>
      <c r="I17" s="7">
        <f>COUNTIF(J$6:J$12,"&lt;=1")</f>
        <v>3</v>
      </c>
      <c r="J17" s="6">
        <f>SUMIF($D$6:$D$12,"Sí",N$6:N$12)</f>
        <v>0.72499999999999998</v>
      </c>
      <c r="K17" s="7">
        <v>4</v>
      </c>
      <c r="L17" s="7" t="b">
        <f>AND(F17="Elegible",ROUND(B17,4)&gt;=ROUND($C$22-UMBRAL_EMPATE,4))</f>
        <v>0</v>
      </c>
      <c r="M17" s="27">
        <f>IF(L17,10000-I17*1000+J17*100+K17,-1)</f>
        <v>-1</v>
      </c>
      <c r="N17" s="6">
        <f>IF(OR(F17="Excluido",A17=$C$23),"—",INDEX($B$17:$B$20,MATCH($C$23,$A$17:$A$20,0))-B17)</f>
        <v>2.75</v>
      </c>
      <c r="O17" s="6">
        <f>R13</f>
        <v>-0.15</v>
      </c>
      <c r="P17" s="6">
        <f>IF(OR(F17="Excluido",A17=$C$23),"—",N17+O17)</f>
        <v>2.6</v>
      </c>
    </row>
    <row r="18" spans="1:16" x14ac:dyDescent="0.55000000000000004">
      <c r="A18" s="20" t="s">
        <v>17</v>
      </c>
      <c r="B18" s="26">
        <f>O13</f>
        <v>2.0249999999999999</v>
      </c>
      <c r="C18" s="7" t="str">
        <f>IF(SUMPRODUCT(($D$6:$D$12="Sí")*(K$6:K$12=0)*($G$6:$G$12&lt;&gt;"Faltante"))&gt;0,"Sí","No")</f>
        <v>No</v>
      </c>
      <c r="D18" s="13" t="s">
        <v>53</v>
      </c>
      <c r="E18" s="19"/>
      <c r="F18" s="7" t="str">
        <f>IF(OR(C18="Sí",D18="Sí"),"Excluido","Elegible")</f>
        <v>Elegible</v>
      </c>
      <c r="G18" s="6">
        <f>IF(F18="Excluido",-1,B18)</f>
        <v>2.0249999999999999</v>
      </c>
      <c r="H18" s="7">
        <f>IF(F18="Excluido","—",RANK(G18,$G$17:$G$20))</f>
        <v>3</v>
      </c>
      <c r="I18" s="7">
        <f>COUNTIF(K$6:K$12,"&lt;=1")</f>
        <v>2</v>
      </c>
      <c r="J18" s="6">
        <f>SUMIF($D$6:$D$12,"Sí",O$6:O$12)</f>
        <v>1.2250000000000001</v>
      </c>
      <c r="K18" s="7">
        <v>3</v>
      </c>
      <c r="L18" s="7" t="b">
        <f>AND(F18="Elegible",ROUND(B18,4)&gt;=ROUND($C$22-UMBRAL_EMPATE,4))</f>
        <v>0</v>
      </c>
      <c r="M18" s="27">
        <f>IF(L18,10000-I18*1000+J18*100+K18,-1)</f>
        <v>-1</v>
      </c>
      <c r="N18" s="6">
        <f>IF(OR(F18="Excluido",A18=$C$23),"—",INDEX($B$17:$B$20,MATCH($C$23,$A$17:$A$20,0))-B18)</f>
        <v>2.35</v>
      </c>
      <c r="O18" s="6">
        <f>S13</f>
        <v>-0.25</v>
      </c>
      <c r="P18" s="6">
        <f>IF(OR(F18="Excluido",A18=$C$23),"—",N18+O18)</f>
        <v>2.1</v>
      </c>
    </row>
    <row r="19" spans="1:16" x14ac:dyDescent="0.55000000000000004">
      <c r="A19" s="20" t="s">
        <v>18</v>
      </c>
      <c r="B19" s="26">
        <f>P13</f>
        <v>4.375</v>
      </c>
      <c r="C19" s="7" t="str">
        <f>IF(SUMPRODUCT(($D$6:$D$12="Sí")*(L$6:L$12=0)*($G$6:$G$12&lt;&gt;"Faltante"))&gt;0,"Sí","No")</f>
        <v>No</v>
      </c>
      <c r="D19" s="13" t="s">
        <v>53</v>
      </c>
      <c r="E19" s="19"/>
      <c r="F19" s="7" t="str">
        <f>IF(OR(C19="Sí",D19="Sí"),"Excluido","Elegible")</f>
        <v>Elegible</v>
      </c>
      <c r="G19" s="6">
        <f>IF(F19="Excluido",-1,B19)</f>
        <v>4.375</v>
      </c>
      <c r="H19" s="7">
        <f>IF(F19="Excluido","—",RANK(G19,$G$17:$G$20))</f>
        <v>1</v>
      </c>
      <c r="I19" s="7">
        <f>COUNTIF(L$6:L$12,"&lt;=1")</f>
        <v>0</v>
      </c>
      <c r="J19" s="6">
        <f>SUMIF($D$6:$D$12,"Sí",P$6:P$12)</f>
        <v>2.125</v>
      </c>
      <c r="K19" s="7">
        <v>1</v>
      </c>
      <c r="L19" s="7" t="b">
        <f>AND(F19="Elegible",ROUND(B19,4)&gt;=ROUND($C$22-UMBRAL_EMPATE,4))</f>
        <v>1</v>
      </c>
      <c r="M19" s="27">
        <f>IF(L19,10000-I19*1000+J19*100+K19,-1)</f>
        <v>10213.5</v>
      </c>
      <c r="N19" s="6" t="str">
        <f>IF(OR(F19="Excluido",A19=$C$23),"—",INDEX($B$17:$B$20,MATCH($C$23,$A$17:$A$20,0))-B19)</f>
        <v>—</v>
      </c>
      <c r="O19" s="6">
        <f>T13</f>
        <v>0</v>
      </c>
      <c r="P19" s="6" t="str">
        <f>IF(OR(F19="Excluido",A19=$C$23),"—",N19+O19)</f>
        <v>—</v>
      </c>
    </row>
    <row r="20" spans="1:16" ht="28.8" x14ac:dyDescent="0.55000000000000004">
      <c r="A20" s="20" t="s">
        <v>202</v>
      </c>
      <c r="B20" s="26">
        <f>Q13</f>
        <v>2.9749999999999996</v>
      </c>
      <c r="C20" s="7" t="str">
        <f>IF(SUMPRODUCT(($D$6:$D$12="Sí")*(M$6:M$12=0)*($G$6:$G$12&lt;&gt;"Faltante"))&gt;0,"Sí","No")</f>
        <v>No</v>
      </c>
      <c r="D20" s="13" t="s">
        <v>53</v>
      </c>
      <c r="E20" s="19"/>
      <c r="F20" s="7" t="str">
        <f>IF(OR(C20="Sí",D20="Sí"),"Excluido","Elegible")</f>
        <v>Elegible</v>
      </c>
      <c r="G20" s="6">
        <f>IF(F20="Excluido",-1,B20)</f>
        <v>2.9749999999999996</v>
      </c>
      <c r="H20" s="7">
        <f>IF(F20="Excluido","—",RANK(G20,$G$17:$G$20))</f>
        <v>2</v>
      </c>
      <c r="I20" s="7">
        <f>COUNTIF(M$6:M$12,"&lt;=1")</f>
        <v>0</v>
      </c>
      <c r="J20" s="6">
        <f>SUMIF($D$6:$D$12,"Sí",Q$6:Q$12)</f>
        <v>1.425</v>
      </c>
      <c r="K20" s="7">
        <v>2</v>
      </c>
      <c r="L20" s="7" t="b">
        <f>AND(F20="Elegible",ROUND(B20,4)&gt;=ROUND($C$22-UMBRAL_EMPATE,4))</f>
        <v>0</v>
      </c>
      <c r="M20" s="27">
        <f>IF(L20,10000-I20*1000+J20*100+K20,-1)</f>
        <v>-1</v>
      </c>
      <c r="N20" s="6">
        <f>IF(OR(F20="Excluido",A20=$C$23),"—",INDEX($B$17:$B$20,MATCH($C$23,$A$17:$A$20,0))-B20)</f>
        <v>1.4000000000000004</v>
      </c>
      <c r="O20" s="6">
        <f>U13</f>
        <v>-0.85</v>
      </c>
      <c r="P20" s="6">
        <f>IF(OR(F20="Excluido",A20=$C$23),"—",N20+O20)</f>
        <v>0.55000000000000038</v>
      </c>
    </row>
    <row r="22" spans="1:16" ht="18" customHeight="1" x14ac:dyDescent="0.55000000000000004">
      <c r="A22" s="35" t="s">
        <v>238</v>
      </c>
      <c r="B22" s="29"/>
      <c r="C22" s="33">
        <f>MAX(G17:G20)</f>
        <v>4.375</v>
      </c>
      <c r="D22" s="29"/>
      <c r="E22" s="29"/>
      <c r="F22" s="29"/>
      <c r="G22" s="29"/>
      <c r="H22" s="29"/>
    </row>
    <row r="23" spans="1:16" ht="18" customHeight="1" x14ac:dyDescent="0.55000000000000004">
      <c r="A23" s="35" t="s">
        <v>239</v>
      </c>
      <c r="B23" s="29"/>
      <c r="C23" s="37" t="str">
        <f>IF(MAX(M17:M20)&lt;0,"Ninguno compatible",INDEX(A17:A20,MATCH(MAX(M17:M20),M17:M20,0)))</f>
        <v>SAFe</v>
      </c>
      <c r="D23" s="29"/>
      <c r="E23" s="29"/>
      <c r="F23" s="29"/>
      <c r="G23" s="29"/>
      <c r="H23" s="29"/>
    </row>
    <row r="24" spans="1:16" ht="18" customHeight="1" x14ac:dyDescent="0.55000000000000004">
      <c r="A24" s="35" t="s">
        <v>240</v>
      </c>
      <c r="B24" s="29"/>
      <c r="C24" s="33">
        <f>IFERROR(INDEX(B17:B20,MATCH(C23,A17:A20,0)),"—")</f>
        <v>4.375</v>
      </c>
      <c r="D24" s="29"/>
      <c r="E24" s="29"/>
      <c r="F24" s="29"/>
      <c r="G24" s="29"/>
      <c r="H24" s="29"/>
    </row>
    <row r="25" spans="1:16" ht="18" customHeight="1" x14ac:dyDescent="0.55000000000000004">
      <c r="A25" s="35" t="s">
        <v>241</v>
      </c>
      <c r="B25" s="29"/>
      <c r="C25" s="36" t="str">
        <f>IFERROR(INDEX(A17:A20,MATCH(LARGE(G17:G20,2),G17:G20,0)),"—")</f>
        <v>Disciplined Agile</v>
      </c>
      <c r="D25" s="29"/>
      <c r="E25" s="29"/>
      <c r="F25" s="29"/>
      <c r="G25" s="29"/>
      <c r="H25" s="29"/>
    </row>
    <row r="26" spans="1:16" ht="18" customHeight="1" x14ac:dyDescent="0.55000000000000004">
      <c r="A26" s="35" t="s">
        <v>242</v>
      </c>
      <c r="B26" s="29"/>
      <c r="C26" s="33">
        <f>IF(LARGE(G17:G20,2)&lt;0,"—",LARGE(G17:G20,1)-LARGE(G17:G20,2))</f>
        <v>1.4000000000000004</v>
      </c>
      <c r="D26" s="29"/>
      <c r="E26" s="29"/>
      <c r="F26" s="29"/>
      <c r="G26" s="29"/>
      <c r="H26" s="29"/>
    </row>
    <row r="27" spans="1:16" ht="18" customHeight="1" x14ac:dyDescent="0.55000000000000004">
      <c r="A27" s="35" t="s">
        <v>22</v>
      </c>
      <c r="B27" s="29"/>
      <c r="C27" s="36" t="str">
        <f>IF(COUNTIF(L17:L20,TRUE)&gt;1,"Sí: se aplicó la regla R6 de desempate","No")</f>
        <v>No</v>
      </c>
      <c r="D27" s="29"/>
      <c r="E27" s="29"/>
      <c r="F27" s="29"/>
      <c r="G27" s="29"/>
      <c r="H27" s="29"/>
    </row>
    <row r="28" spans="1:16" ht="18" customHeight="1" x14ac:dyDescent="0.55000000000000004">
      <c r="A28" s="35" t="s">
        <v>243</v>
      </c>
      <c r="B28" s="29"/>
      <c r="C28" s="39">
        <f>SUMIF(G6:G12,"Explícito",C6:C12)</f>
        <v>0.65</v>
      </c>
      <c r="D28" s="29"/>
      <c r="E28" s="29"/>
      <c r="F28" s="29"/>
      <c r="G28" s="29"/>
      <c r="H28" s="29"/>
    </row>
    <row r="29" spans="1:16" ht="18" customHeight="1" x14ac:dyDescent="0.55000000000000004">
      <c r="A29" s="35" t="s">
        <v>244</v>
      </c>
      <c r="B29" s="29"/>
      <c r="C29" s="39">
        <f>SUMIF(G6:G12,"Inferido",C6:C12)</f>
        <v>0.1</v>
      </c>
      <c r="D29" s="29"/>
      <c r="E29" s="29"/>
      <c r="F29" s="29"/>
      <c r="G29" s="29"/>
      <c r="H29" s="29"/>
    </row>
    <row r="30" spans="1:16" ht="18" customHeight="1" x14ac:dyDescent="0.55000000000000004">
      <c r="A30" s="35" t="s">
        <v>245</v>
      </c>
      <c r="B30" s="29"/>
      <c r="C30" s="39">
        <f>SUMIF(G6:G12,"Faltante",C6:C12)</f>
        <v>0.25</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Robusta: ningún valor posible de los datos faltantes cambia la recomendación</v>
      </c>
      <c r="D31" s="29"/>
      <c r="E31" s="29"/>
      <c r="F31" s="29"/>
      <c r="G31" s="29"/>
      <c r="H31" s="29"/>
    </row>
    <row r="32" spans="1:16" ht="30" customHeight="1" x14ac:dyDescent="0.55000000000000004">
      <c r="A32" s="35" t="s">
        <v>247</v>
      </c>
      <c r="B32" s="29"/>
      <c r="C32" s="38" t="s">
        <v>18</v>
      </c>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7" priority="1" operator="equal">
      <formula>"Excluido"</formula>
    </cfRule>
  </conditionalFormatting>
  <conditionalFormatting sqref="P17:P20">
    <cfRule type="expression" dxfId="6" priority="2">
      <formula>AND(ISNUMBER(P17),P17&lt;=0)</formula>
    </cfRule>
  </conditionalFormatting>
  <dataValidations count="8">
    <dataValidation type="list" allowBlank="1" sqref="G6 G7 G8 G9 G10 G11 G12" xr:uid="{00000000-0002-0000-0800-000000000000}">
      <formula1>"Explícito,Inferido,Faltante"</formula1>
    </dataValidation>
    <dataValidation type="whole" operator="greaterThanOrEqual" allowBlank="1" sqref="F6" xr:uid="{00000000-0002-0000-0800-000001000000}">
      <formula1>1</formula1>
    </dataValidation>
    <dataValidation type="list" allowBlank="1" sqref="F7" xr:uid="{00000000-0002-0000-0800-000002000000}">
      <formula1>"Un solo producto,Varias soluciones interdependientes,Productos o proyectos independientes"</formula1>
    </dataValidation>
    <dataValidation type="list" allowBlank="1" sqref="F8" xr:uid="{00000000-0002-0000-0800-000003000000}">
      <formula1>"Bajas,Medias,Altas"</formula1>
    </dataValidation>
    <dataValidation type="list" allowBlank="1" sqref="F9" xr:uid="{00000000-0002-0000-0800-000004000000}">
      <formula1>"Ligera,Variable por contrato o cliente,Regulatoria formal"</formula1>
    </dataValidation>
    <dataValidation type="list" allowBlank="1" sqref="F10" xr:uid="{00000000-0002-0000-0800-000005000000}">
      <formula1>"Bajo,Medio,Alto"</formula1>
    </dataValidation>
    <dataValidation type="list" allowBlank="1" sqref="F11:F12" xr:uid="{00000000-0002-0000-0800-000006000000}">
      <formula1>"Baja,Media,Alta"</formula1>
    </dataValidation>
    <dataValidation type="list" sqref="D17 D18 D19 D20" xr:uid="{00000000-0002-0000-0800-000008000000}">
      <formula1>"Sí,No"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27</v>
      </c>
    </row>
    <row r="2" spans="1:21" ht="60" customHeight="1" x14ac:dyDescent="0.55000000000000004">
      <c r="A2" s="2" t="s">
        <v>204</v>
      </c>
      <c r="B2" s="38" t="s">
        <v>271</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t="s">
        <v>272</v>
      </c>
      <c r="F6" s="13">
        <v>6</v>
      </c>
      <c r="G6" s="13" t="s">
        <v>250</v>
      </c>
      <c r="H6" s="19"/>
      <c r="I6" s="9" t="str">
        <f>IF(G6="Faltante","(faltante)",IF(F6="","",IF(F6&lt;=3,"1 a 3 equipos",IF(F6&lt;=9,"4 a 9 equipos",IF(F6&lt;=15,"10 a 15 equipos",IF(F6&lt;=50,"16 a 50 equipos","Más de 50 equipos"))))))</f>
        <v>4 a 9 equipos</v>
      </c>
      <c r="J6" s="22">
        <f>IF($G6="Faltante",PUNTAJE_NEUTRO,IF($I6="","",INDEX('2_Escalas_Reglas'!$E$15:$E$37,MATCH($A6&amp;"|"&amp;$I6,'2_Escalas_Reglas'!$A$15:$A$37,0))))</f>
        <v>5</v>
      </c>
      <c r="K6" s="22">
        <f>IF($G6="Faltante",PUNTAJE_NEUTRO,IF($I6="","",INDEX('2_Escalas_Reglas'!$F$15:$F$37,MATCH($A6&amp;"|"&amp;$I6,'2_Escalas_Reglas'!$A$15:$A$37,0))))</f>
        <v>5</v>
      </c>
      <c r="L6" s="22">
        <f>IF($G6="Faltante",PUNTAJE_NEUTRO,IF($I6="","",INDEX('2_Escalas_Reglas'!$G$15:$G$37,MATCH($A6&amp;"|"&amp;$I6,'2_Escalas_Reglas'!$A$15:$A$37,0))))</f>
        <v>3</v>
      </c>
      <c r="M6" s="22">
        <f>IF($G6="Faltante",PUNTAJE_NEUTRO,IF($I6="","",INDEX('2_Escalas_Reglas'!$H$15:$H$37,MATCH($A6&amp;"|"&amp;$I6,'2_Escalas_Reglas'!$A$15:$A$37,0))))</f>
        <v>4</v>
      </c>
      <c r="N6" s="23">
        <f t="shared" ref="N6:Q12" si="0">IF(J6="","",$C6*J6)</f>
        <v>0.75</v>
      </c>
      <c r="O6" s="23">
        <f t="shared" si="0"/>
        <v>0.75</v>
      </c>
      <c r="P6" s="23">
        <f t="shared" si="0"/>
        <v>0.44999999999999996</v>
      </c>
      <c r="Q6" s="23">
        <f t="shared" si="0"/>
        <v>0.6</v>
      </c>
      <c r="R6" s="23">
        <f>IF($G6="Faltante",IFERROR($C6*INDEX(Aux_Sensibilidad!$C$5:$I$20,MATCH($C$23&amp;"|"&amp;"Nexus",Aux_Sensibilidad!$B$5:$B$20,0),1),0),0)</f>
        <v>0</v>
      </c>
      <c r="S6" s="23">
        <f>IF($G6="Faltante",IFERROR($C6*INDEX(Aux_Sensibilidad!$C$5:$I$20,MATCH($C$23&amp;"|"&amp;"LeSS",Aux_Sensibilidad!$B$5:$B$20,0),1),0),0)</f>
        <v>0</v>
      </c>
      <c r="T6" s="23">
        <f>IF($G6="Faltante",IFERROR($C6*INDEX(Aux_Sensibilidad!$C$5:$I$20,MATCH($C$23&amp;"|"&amp;"SAFe",Aux_Sensibilidad!$B$5:$B$20,0),1),0),0)</f>
        <v>0</v>
      </c>
      <c r="U6" s="23">
        <f>IF($G6="Faltante",IFERROR($C6*INDEX(Aux_Sensibilidad!$C$5:$I$20,MATCH($C$23&amp;"|"&amp;"Disciplined Agile",Aux_Sensibilidad!$B$5:$B$20,0),1),0),0)</f>
        <v>0</v>
      </c>
    </row>
    <row r="7" spans="1:21" ht="60" customHeight="1" x14ac:dyDescent="0.55000000000000004">
      <c r="A7" s="20" t="s">
        <v>45</v>
      </c>
      <c r="B7" s="9" t="str">
        <f>'1_Criterios_Pesos'!B6</f>
        <v>Estructura de producto o solución</v>
      </c>
      <c r="C7" s="21">
        <f>'1_Criterios_Pesos'!D6</f>
        <v>0.2</v>
      </c>
      <c r="D7" s="7" t="str">
        <f>'1_Criterios_Pesos'!E6</f>
        <v>Sí</v>
      </c>
      <c r="E7" s="19" t="s">
        <v>273</v>
      </c>
      <c r="F7" s="13" t="s">
        <v>121</v>
      </c>
      <c r="G7" s="13" t="s">
        <v>250</v>
      </c>
      <c r="H7" s="19"/>
      <c r="I7" s="9" t="str">
        <f t="shared" ref="I7:I12" si="1">IF(G7="Faltante","(faltante)",IF(F7="","",F7))</f>
        <v>Productos o proyectos independientes</v>
      </c>
      <c r="J7" s="22">
        <f>IF($G7="Faltante",PUNTAJE_NEUTRO,IF($I7="","",INDEX('2_Escalas_Reglas'!$E$15:$E$37,MATCH($A7&amp;"|"&amp;$I7,'2_Escalas_Reglas'!$A$15:$A$37,0))))</f>
        <v>0</v>
      </c>
      <c r="K7" s="22">
        <f>IF($G7="Faltante",PUNTAJE_NEUTRO,IF($I7="","",INDEX('2_Escalas_Reglas'!$F$15:$F$37,MATCH($A7&amp;"|"&amp;$I7,'2_Escalas_Reglas'!$A$15:$A$37,0))))</f>
        <v>0</v>
      </c>
      <c r="L7" s="22">
        <f>IF($G7="Faltante",PUNTAJE_NEUTRO,IF($I7="","",INDEX('2_Escalas_Reglas'!$G$15:$G$37,MATCH($A7&amp;"|"&amp;$I7,'2_Escalas_Reglas'!$A$15:$A$37,0))))</f>
        <v>2</v>
      </c>
      <c r="M7" s="22">
        <f>IF($G7="Faltante",PUNTAJE_NEUTRO,IF($I7="","",INDEX('2_Escalas_Reglas'!$H$15:$H$37,MATCH($A7&amp;"|"&amp;$I7,'2_Escalas_Reglas'!$A$15:$A$37,0))))</f>
        <v>5</v>
      </c>
      <c r="N7" s="23">
        <f t="shared" si="0"/>
        <v>0</v>
      </c>
      <c r="O7" s="23">
        <f t="shared" si="0"/>
        <v>0</v>
      </c>
      <c r="P7" s="23">
        <f t="shared" si="0"/>
        <v>0.4</v>
      </c>
      <c r="Q7" s="23">
        <f t="shared" si="0"/>
        <v>1</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t="s">
        <v>274</v>
      </c>
      <c r="F8" s="13" t="s">
        <v>124</v>
      </c>
      <c r="G8" s="13" t="s">
        <v>259</v>
      </c>
      <c r="H8" s="19" t="s">
        <v>275</v>
      </c>
      <c r="I8" s="9" t="str">
        <f t="shared" si="1"/>
        <v>Bajas</v>
      </c>
      <c r="J8" s="22">
        <f>IF($G8="Faltante",PUNTAJE_NEUTRO,IF($I8="","",INDEX('2_Escalas_Reglas'!$E$15:$E$37,MATCH($A8&amp;"|"&amp;$I8,'2_Escalas_Reglas'!$A$15:$A$37,0))))</f>
        <v>3</v>
      </c>
      <c r="K8" s="22">
        <f>IF($G8="Faltante",PUNTAJE_NEUTRO,IF($I8="","",INDEX('2_Escalas_Reglas'!$F$15:$F$37,MATCH($A8&amp;"|"&amp;$I8,'2_Escalas_Reglas'!$A$15:$A$37,0))))</f>
        <v>4</v>
      </c>
      <c r="L8" s="22">
        <f>IF($G8="Faltante",PUNTAJE_NEUTRO,IF($I8="","",INDEX('2_Escalas_Reglas'!$G$15:$G$37,MATCH($A8&amp;"|"&amp;$I8,'2_Escalas_Reglas'!$A$15:$A$37,0))))</f>
        <v>2</v>
      </c>
      <c r="M8" s="22">
        <f>IF($G8="Faltante",PUNTAJE_NEUTRO,IF($I8="","",INDEX('2_Escalas_Reglas'!$H$15:$H$37,MATCH($A8&amp;"|"&amp;$I8,'2_Escalas_Reglas'!$A$15:$A$37,0))))</f>
        <v>5</v>
      </c>
      <c r="N8" s="23">
        <f t="shared" si="0"/>
        <v>0.44999999999999996</v>
      </c>
      <c r="O8" s="23">
        <f t="shared" si="0"/>
        <v>0.6</v>
      </c>
      <c r="P8" s="23">
        <f t="shared" si="0"/>
        <v>0.3</v>
      </c>
      <c r="Q8" s="23">
        <f t="shared" si="0"/>
        <v>0.75</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t="s">
        <v>276</v>
      </c>
      <c r="F9" s="13" t="s">
        <v>136</v>
      </c>
      <c r="G9" s="13" t="s">
        <v>250</v>
      </c>
      <c r="H9" s="19"/>
      <c r="I9" s="9" t="str">
        <f t="shared" si="1"/>
        <v>Variable por contrato o cliente</v>
      </c>
      <c r="J9" s="22">
        <f>IF($G9="Faltante",PUNTAJE_NEUTRO,IF($I9="","",INDEX('2_Escalas_Reglas'!$E$15:$E$37,MATCH($A9&amp;"|"&amp;$I9,'2_Escalas_Reglas'!$A$15:$A$37,0))))</f>
        <v>3</v>
      </c>
      <c r="K9" s="22">
        <f>IF($G9="Faltante",PUNTAJE_NEUTRO,IF($I9="","",INDEX('2_Escalas_Reglas'!$F$15:$F$37,MATCH($A9&amp;"|"&amp;$I9,'2_Escalas_Reglas'!$A$15:$A$37,0))))</f>
        <v>2</v>
      </c>
      <c r="L9" s="22">
        <f>IF($G9="Faltante",PUNTAJE_NEUTRO,IF($I9="","",INDEX('2_Escalas_Reglas'!$G$15:$G$37,MATCH($A9&amp;"|"&amp;$I9,'2_Escalas_Reglas'!$A$15:$A$37,0))))</f>
        <v>3</v>
      </c>
      <c r="M9" s="22">
        <f>IF($G9="Faltante",PUNTAJE_NEUTRO,IF($I9="","",INDEX('2_Escalas_Reglas'!$H$15:$H$37,MATCH($A9&amp;"|"&amp;$I9,'2_Escalas_Reglas'!$A$15:$A$37,0))))</f>
        <v>5</v>
      </c>
      <c r="N9" s="23">
        <f t="shared" si="0"/>
        <v>0.30000000000000004</v>
      </c>
      <c r="O9" s="23">
        <f t="shared" si="0"/>
        <v>0.2</v>
      </c>
      <c r="P9" s="23">
        <f t="shared" si="0"/>
        <v>0.30000000000000004</v>
      </c>
      <c r="Q9" s="23">
        <f t="shared" si="0"/>
        <v>0.5</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t="s">
        <v>277</v>
      </c>
      <c r="F10" s="13" t="s">
        <v>142</v>
      </c>
      <c r="G10" s="13" t="s">
        <v>259</v>
      </c>
      <c r="H10" s="19" t="s">
        <v>278</v>
      </c>
      <c r="I10" s="9" t="str">
        <f t="shared" si="1"/>
        <v>Bajo</v>
      </c>
      <c r="J10" s="22">
        <f>IF($G10="Faltante",PUNTAJE_NEUTRO,IF($I10="","",INDEX('2_Escalas_Reglas'!$E$15:$E$37,MATCH($A10&amp;"|"&amp;$I10,'2_Escalas_Reglas'!$A$15:$A$37,0))))</f>
        <v>4</v>
      </c>
      <c r="K10" s="22">
        <f>IF($G10="Faltante",PUNTAJE_NEUTRO,IF($I10="","",INDEX('2_Escalas_Reglas'!$F$15:$F$37,MATCH($A10&amp;"|"&amp;$I10,'2_Escalas_Reglas'!$A$15:$A$37,0))))</f>
        <v>4</v>
      </c>
      <c r="L10" s="22">
        <f>IF($G10="Faltante",PUNTAJE_NEUTRO,IF($I10="","",INDEX('2_Escalas_Reglas'!$G$15:$G$37,MATCH($A10&amp;"|"&amp;$I10,'2_Escalas_Reglas'!$A$15:$A$37,0))))</f>
        <v>1</v>
      </c>
      <c r="M10" s="22">
        <f>IF($G10="Faltante",PUNTAJE_NEUTRO,IF($I10="","",INDEX('2_Escalas_Reglas'!$H$15:$H$37,MATCH($A10&amp;"|"&amp;$I10,'2_Escalas_Reglas'!$A$15:$A$37,0))))</f>
        <v>4</v>
      </c>
      <c r="N10" s="23">
        <f t="shared" si="0"/>
        <v>0.6</v>
      </c>
      <c r="O10" s="23">
        <f t="shared" si="0"/>
        <v>0.6</v>
      </c>
      <c r="P10" s="23">
        <f t="shared" si="0"/>
        <v>0.15</v>
      </c>
      <c r="Q10" s="23">
        <f t="shared" si="0"/>
        <v>0.6</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v>
      </c>
      <c r="U10" s="23">
        <f>IF($G10="Faltante",IFERROR($C10*INDEX(Aux_Sensibilidad!$C$5:$I$20,MATCH($C$23&amp;"|"&amp;"Disciplined Agile",Aux_Sensibilidad!$B$5:$B$20,0),5),0),0)</f>
        <v>0</v>
      </c>
    </row>
    <row r="11" spans="1:21" ht="60" customHeight="1" x14ac:dyDescent="0.55000000000000004">
      <c r="A11" s="20" t="s">
        <v>66</v>
      </c>
      <c r="B11" s="9" t="str">
        <f>'1_Criterios_Pesos'!B10</f>
        <v>Autonomía y adaptación del proceso</v>
      </c>
      <c r="C11" s="21">
        <f>'1_Criterios_Pesos'!D10</f>
        <v>0.1</v>
      </c>
      <c r="D11" s="7" t="str">
        <f>'1_Criterios_Pesos'!E10</f>
        <v>No</v>
      </c>
      <c r="E11" s="19" t="s">
        <v>279</v>
      </c>
      <c r="F11" s="13" t="s">
        <v>90</v>
      </c>
      <c r="G11" s="13" t="s">
        <v>250</v>
      </c>
      <c r="H11" s="19"/>
      <c r="I11" s="9" t="str">
        <f t="shared" si="1"/>
        <v>Alta</v>
      </c>
      <c r="J11" s="22">
        <f>IF($G11="Faltante",PUNTAJE_NEUTRO,IF($I11="","",INDEX('2_Escalas_Reglas'!$E$15:$E$37,MATCH($A11&amp;"|"&amp;$I11,'2_Escalas_Reglas'!$A$15:$A$37,0))))</f>
        <v>1</v>
      </c>
      <c r="K11" s="22">
        <f>IF($G11="Faltante",PUNTAJE_NEUTRO,IF($I11="","",INDEX('2_Escalas_Reglas'!$F$15:$F$37,MATCH($A11&amp;"|"&amp;$I11,'2_Escalas_Reglas'!$A$15:$A$37,0))))</f>
        <v>2</v>
      </c>
      <c r="L11" s="22">
        <f>IF($G11="Faltante",PUNTAJE_NEUTRO,IF($I11="","",INDEX('2_Escalas_Reglas'!$G$15:$G$37,MATCH($A11&amp;"|"&amp;$I11,'2_Escalas_Reglas'!$A$15:$A$37,0))))</f>
        <v>1</v>
      </c>
      <c r="M11" s="22">
        <f>IF($G11="Faltante",PUNTAJE_NEUTRO,IF($I11="","",INDEX('2_Escalas_Reglas'!$H$15:$H$37,MATCH($A11&amp;"|"&amp;$I11,'2_Escalas_Reglas'!$A$15:$A$37,0))))</f>
        <v>5</v>
      </c>
      <c r="N11" s="23">
        <f t="shared" si="0"/>
        <v>0.1</v>
      </c>
      <c r="O11" s="23">
        <f t="shared" si="0"/>
        <v>0.2</v>
      </c>
      <c r="P11" s="23">
        <f t="shared" si="0"/>
        <v>0.1</v>
      </c>
      <c r="Q11" s="23">
        <f t="shared" si="0"/>
        <v>0.5</v>
      </c>
      <c r="R11" s="23">
        <f>IF($G11="Faltante",IFERROR($C11*INDEX(Aux_Sensibilidad!$C$5:$I$20,MATCH($C$23&amp;"|"&amp;"Nexus",Aux_Sensibilidad!$B$5:$B$20,0),6),0),0)</f>
        <v>0</v>
      </c>
      <c r="S11" s="23">
        <f>IF($G11="Faltante",IFERROR($C11*INDEX(Aux_Sensibilidad!$C$5:$I$20,MATCH($C$23&amp;"|"&amp;"LeSS",Aux_Sensibilidad!$B$5:$B$20,0),6),0),0)</f>
        <v>0</v>
      </c>
      <c r="T11" s="23">
        <f>IF($G11="Faltante",IFERROR($C11*INDEX(Aux_Sensibilidad!$C$5:$I$20,MATCH($C$23&amp;"|"&amp;"SAFe",Aux_Sensibilidad!$B$5:$B$20,0),6),0),0)</f>
        <v>0</v>
      </c>
      <c r="U11" s="23">
        <f>IF($G11="Faltante",IFERROR($C11*INDEX(Aux_Sensibilidad!$C$5:$I$20,MATCH($C$23&amp;"|"&amp;"Disciplined Agile",Aux_Sensibilidad!$B$5:$B$20,0),6),0),0)</f>
        <v>0</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t="s">
        <v>280</v>
      </c>
      <c r="F12" s="13" t="s">
        <v>90</v>
      </c>
      <c r="G12" s="13" t="s">
        <v>250</v>
      </c>
      <c r="H12" s="19"/>
      <c r="I12" s="9" t="str">
        <f t="shared" si="1"/>
        <v>Alta</v>
      </c>
      <c r="J12" s="22">
        <f>IF($G12="Faltante",PUNTAJE_NEUTRO,IF($I12="","",INDEX('2_Escalas_Reglas'!$E$15:$E$37,MATCH($A12&amp;"|"&amp;$I12,'2_Escalas_Reglas'!$A$15:$A$37,0))))</f>
        <v>0</v>
      </c>
      <c r="K12" s="22">
        <f>IF($G12="Faltante",PUNTAJE_NEUTRO,IF($I12="","",INDEX('2_Escalas_Reglas'!$F$15:$F$37,MATCH($A12&amp;"|"&amp;$I12,'2_Escalas_Reglas'!$A$15:$A$37,0))))</f>
        <v>1</v>
      </c>
      <c r="L12" s="22">
        <f>IF($G12="Faltante",PUNTAJE_NEUTRO,IF($I12="","",INDEX('2_Escalas_Reglas'!$G$15:$G$37,MATCH($A12&amp;"|"&amp;$I12,'2_Escalas_Reglas'!$A$15:$A$37,0))))</f>
        <v>2</v>
      </c>
      <c r="M12" s="22">
        <f>IF($G12="Faltante",PUNTAJE_NEUTRO,IF($I12="","",INDEX('2_Escalas_Reglas'!$H$15:$H$37,MATCH($A12&amp;"|"&amp;$I12,'2_Escalas_Reglas'!$A$15:$A$37,0))))</f>
        <v>5</v>
      </c>
      <c r="N12" s="23">
        <f t="shared" si="0"/>
        <v>0</v>
      </c>
      <c r="O12" s="23">
        <f t="shared" si="0"/>
        <v>0.15</v>
      </c>
      <c r="P12" s="23">
        <f t="shared" si="0"/>
        <v>0.3</v>
      </c>
      <c r="Q12" s="23">
        <f t="shared" si="0"/>
        <v>0.75</v>
      </c>
      <c r="R12" s="23">
        <f>IF($G12="Faltante",IFERROR($C12*INDEX(Aux_Sensibilidad!$C$5:$I$20,MATCH($C$23&amp;"|"&amp;"Nexus",Aux_Sensibilidad!$B$5:$B$20,0),7),0),0)</f>
        <v>0</v>
      </c>
      <c r="S12" s="23">
        <f>IF($G12="Faltante",IFERROR($C12*INDEX(Aux_Sensibilidad!$C$5:$I$20,MATCH($C$23&amp;"|"&amp;"LeSS",Aux_Sensibilidad!$B$5:$B$20,0),7),0),0)</f>
        <v>0</v>
      </c>
      <c r="T12" s="23">
        <f>IF($G12="Faltante",IFERROR($C12*INDEX(Aux_Sensibilidad!$C$5:$I$20,MATCH($C$23&amp;"|"&amp;"SAFe",Aux_Sensibilidad!$B$5:$B$20,0),7),0),0)</f>
        <v>0</v>
      </c>
      <c r="U12" s="23">
        <f>IF($G12="Faltante",IFERROR($C12*INDEX(Aux_Sensibilidad!$C$5:$I$20,MATCH($C$23&amp;"|"&amp;"Disciplined Agile",Aux_Sensibilidad!$B$5:$B$20,0),7),0),0)</f>
        <v>0</v>
      </c>
    </row>
    <row r="13" spans="1:21" x14ac:dyDescent="0.55000000000000004">
      <c r="I13" s="2" t="s">
        <v>220</v>
      </c>
      <c r="N13" s="24">
        <f t="shared" ref="N13:U13" si="2">SUM(N6:N12)</f>
        <v>2.2000000000000002</v>
      </c>
      <c r="O13" s="24">
        <f t="shared" si="2"/>
        <v>2.5</v>
      </c>
      <c r="P13" s="24">
        <f t="shared" si="2"/>
        <v>2</v>
      </c>
      <c r="Q13" s="24">
        <f t="shared" si="2"/>
        <v>4.7</v>
      </c>
      <c r="R13" s="25">
        <f t="shared" si="2"/>
        <v>0</v>
      </c>
      <c r="S13" s="25">
        <f t="shared" si="2"/>
        <v>0</v>
      </c>
      <c r="T13" s="25">
        <f t="shared" si="2"/>
        <v>0</v>
      </c>
      <c r="U13" s="25">
        <f t="shared" si="2"/>
        <v>0</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2.2000000000000002</v>
      </c>
      <c r="C17" s="7" t="str">
        <f>IF(SUMPRODUCT(($D$6:$D$12="Sí")*(J$6:J$12=0)*($G$6:$G$12&lt;&gt;"Faltante"))&gt;0,"Sí","No")</f>
        <v>Sí</v>
      </c>
      <c r="D17" s="13" t="s">
        <v>53</v>
      </c>
      <c r="E17" s="19"/>
      <c r="F17" s="7" t="str">
        <f>IF(OR(C17="Sí",D17="Sí"),"Excluido","Elegible")</f>
        <v>Excluido</v>
      </c>
      <c r="G17" s="6">
        <f>IF(F17="Excluido",-1,B17)</f>
        <v>-1</v>
      </c>
      <c r="H17" s="7" t="str">
        <f>IF(F17="Excluido","—",RANK(G17,$G$17:$G$20))</f>
        <v>—</v>
      </c>
      <c r="I17" s="7">
        <f>COUNTIF(J$6:J$12,"&lt;=1")</f>
        <v>3</v>
      </c>
      <c r="J17" s="6">
        <f>SUMIF($D$6:$D$12,"Sí",N$6:N$12)</f>
        <v>0.75</v>
      </c>
      <c r="K17" s="7">
        <v>4</v>
      </c>
      <c r="L17" s="7" t="b">
        <f>AND(F17="Elegible",ROUND(B17,4)&gt;=ROUND($C$22-UMBRAL_EMPATE,4))</f>
        <v>0</v>
      </c>
      <c r="M17" s="27">
        <f>IF(L17,10000-I17*1000+J17*100+K17,-1)</f>
        <v>-1</v>
      </c>
      <c r="N17" s="6" t="str">
        <f>IF(OR(F17="Excluido",A17=$C$23),"—",INDEX($B$17:$B$20,MATCH($C$23,$A$17:$A$20,0))-B17)</f>
        <v>—</v>
      </c>
      <c r="O17" s="6">
        <f>R13</f>
        <v>0</v>
      </c>
      <c r="P17" s="6" t="str">
        <f>IF(OR(F17="Excluido",A17=$C$23),"—",N17+O17)</f>
        <v>—</v>
      </c>
    </row>
    <row r="18" spans="1:16" x14ac:dyDescent="0.55000000000000004">
      <c r="A18" s="20" t="s">
        <v>17</v>
      </c>
      <c r="B18" s="26">
        <f>O13</f>
        <v>2.5</v>
      </c>
      <c r="C18" s="7" t="str">
        <f>IF(SUMPRODUCT(($D$6:$D$12="Sí")*(K$6:K$12=0)*($G$6:$G$12&lt;&gt;"Faltante"))&gt;0,"Sí","No")</f>
        <v>Sí</v>
      </c>
      <c r="D18" s="13" t="s">
        <v>53</v>
      </c>
      <c r="E18" s="19"/>
      <c r="F18" s="7" t="str">
        <f>IF(OR(C18="Sí",D18="Sí"),"Excluido","Elegible")</f>
        <v>Excluido</v>
      </c>
      <c r="G18" s="6">
        <f>IF(F18="Excluido",-1,B18)</f>
        <v>-1</v>
      </c>
      <c r="H18" s="7" t="str">
        <f>IF(F18="Excluido","—",RANK(G18,$G$17:$G$20))</f>
        <v>—</v>
      </c>
      <c r="I18" s="7">
        <f>COUNTIF(K$6:K$12,"&lt;=1")</f>
        <v>2</v>
      </c>
      <c r="J18" s="6">
        <f>SUMIF($D$6:$D$12,"Sí",O$6:O$12)</f>
        <v>0.9</v>
      </c>
      <c r="K18" s="7">
        <v>3</v>
      </c>
      <c r="L18" s="7" t="b">
        <f>AND(F18="Elegible",ROUND(B18,4)&gt;=ROUND($C$22-UMBRAL_EMPATE,4))</f>
        <v>0</v>
      </c>
      <c r="M18" s="27">
        <f>IF(L18,10000-I18*1000+J18*100+K18,-1)</f>
        <v>-1</v>
      </c>
      <c r="N18" s="6" t="str">
        <f>IF(OR(F18="Excluido",A18=$C$23),"—",INDEX($B$17:$B$20,MATCH($C$23,$A$17:$A$20,0))-B18)</f>
        <v>—</v>
      </c>
      <c r="O18" s="6">
        <f>S13</f>
        <v>0</v>
      </c>
      <c r="P18" s="6" t="str">
        <f>IF(OR(F18="Excluido",A18=$C$23),"—",N18+O18)</f>
        <v>—</v>
      </c>
    </row>
    <row r="19" spans="1:16" x14ac:dyDescent="0.55000000000000004">
      <c r="A19" s="20" t="s">
        <v>18</v>
      </c>
      <c r="B19" s="26">
        <f>P13</f>
        <v>2</v>
      </c>
      <c r="C19" s="7" t="str">
        <f>IF(SUMPRODUCT(($D$6:$D$12="Sí")*(L$6:L$12=0)*($G$6:$G$12&lt;&gt;"Faltante"))&gt;0,"Sí","No")</f>
        <v>No</v>
      </c>
      <c r="D19" s="13" t="s">
        <v>53</v>
      </c>
      <c r="E19" s="19"/>
      <c r="F19" s="7" t="str">
        <f>IF(OR(C19="Sí",D19="Sí"),"Excluido","Elegible")</f>
        <v>Elegible</v>
      </c>
      <c r="G19" s="6">
        <f>IF(F19="Excluido",-1,B19)</f>
        <v>2</v>
      </c>
      <c r="H19" s="7">
        <f>IF(F19="Excluido","—",RANK(G19,$G$17:$G$20))</f>
        <v>2</v>
      </c>
      <c r="I19" s="7">
        <f>COUNTIF(L$6:L$12,"&lt;=1")</f>
        <v>2</v>
      </c>
      <c r="J19" s="6">
        <f>SUMIF($D$6:$D$12,"Sí",P$6:P$12)</f>
        <v>1.1499999999999999</v>
      </c>
      <c r="K19" s="7">
        <v>1</v>
      </c>
      <c r="L19" s="7" t="b">
        <f>AND(F19="Elegible",ROUND(B19,4)&gt;=ROUND($C$22-UMBRAL_EMPATE,4))</f>
        <v>0</v>
      </c>
      <c r="M19" s="27">
        <f>IF(L19,10000-I19*1000+J19*100+K19,-1)</f>
        <v>-1</v>
      </c>
      <c r="N19" s="6">
        <f>IF(OR(F19="Excluido",A19=$C$23),"—",INDEX($B$17:$B$20,MATCH($C$23,$A$17:$A$20,0))-B19)</f>
        <v>2.7</v>
      </c>
      <c r="O19" s="6">
        <f>T13</f>
        <v>0</v>
      </c>
      <c r="P19" s="6">
        <f>IF(OR(F19="Excluido",A19=$C$23),"—",N19+O19)</f>
        <v>2.7</v>
      </c>
    </row>
    <row r="20" spans="1:16" ht="28.8" x14ac:dyDescent="0.55000000000000004">
      <c r="A20" s="20" t="s">
        <v>202</v>
      </c>
      <c r="B20" s="26">
        <f>Q13</f>
        <v>4.7</v>
      </c>
      <c r="C20" s="7" t="str">
        <f>IF(SUMPRODUCT(($D$6:$D$12="Sí")*(M$6:M$12=0)*($G$6:$G$12&lt;&gt;"Faltante"))&gt;0,"Sí","No")</f>
        <v>No</v>
      </c>
      <c r="D20" s="13" t="s">
        <v>53</v>
      </c>
      <c r="E20" s="19"/>
      <c r="F20" s="7" t="str">
        <f>IF(OR(C20="Sí",D20="Sí"),"Excluido","Elegible")</f>
        <v>Elegible</v>
      </c>
      <c r="G20" s="6">
        <f>IF(F20="Excluido",-1,B20)</f>
        <v>4.7</v>
      </c>
      <c r="H20" s="7">
        <f>IF(F20="Excluido","—",RANK(G20,$G$17:$G$20))</f>
        <v>1</v>
      </c>
      <c r="I20" s="7">
        <f>COUNTIF(M$6:M$12,"&lt;=1")</f>
        <v>0</v>
      </c>
      <c r="J20" s="6">
        <f>SUMIF($D$6:$D$12,"Sí",Q$6:Q$12)</f>
        <v>2.35</v>
      </c>
      <c r="K20" s="7">
        <v>2</v>
      </c>
      <c r="L20" s="7" t="b">
        <f>AND(F20="Elegible",ROUND(B20,4)&gt;=ROUND($C$22-UMBRAL_EMPATE,4))</f>
        <v>1</v>
      </c>
      <c r="M20" s="27">
        <f>IF(L20,10000-I20*1000+J20*100+K20,-1)</f>
        <v>10237</v>
      </c>
      <c r="N20" s="6" t="str">
        <f>IF(OR(F20="Excluido",A20=$C$23),"—",INDEX($B$17:$B$20,MATCH($C$23,$A$17:$A$20,0))-B20)</f>
        <v>—</v>
      </c>
      <c r="O20" s="6">
        <f>U13</f>
        <v>0</v>
      </c>
      <c r="P20" s="6" t="str">
        <f>IF(OR(F20="Excluido",A20=$C$23),"—",N20+O20)</f>
        <v>—</v>
      </c>
    </row>
    <row r="22" spans="1:16" ht="18" customHeight="1" x14ac:dyDescent="0.55000000000000004">
      <c r="A22" s="35" t="s">
        <v>238</v>
      </c>
      <c r="B22" s="29"/>
      <c r="C22" s="33">
        <f>MAX(G17:G20)</f>
        <v>4.7</v>
      </c>
      <c r="D22" s="29"/>
      <c r="E22" s="29"/>
      <c r="F22" s="29"/>
      <c r="G22" s="29"/>
      <c r="H22" s="29"/>
    </row>
    <row r="23" spans="1:16" ht="18" customHeight="1" x14ac:dyDescent="0.55000000000000004">
      <c r="A23" s="35" t="s">
        <v>239</v>
      </c>
      <c r="B23" s="29"/>
      <c r="C23" s="37" t="str">
        <f>IF(MAX(M17:M20)&lt;0,"Ninguno compatible",INDEX(A17:A20,MATCH(MAX(M17:M20),M17:M20,0)))</f>
        <v>Disciplined Agile</v>
      </c>
      <c r="D23" s="29"/>
      <c r="E23" s="29"/>
      <c r="F23" s="29"/>
      <c r="G23" s="29"/>
      <c r="H23" s="29"/>
    </row>
    <row r="24" spans="1:16" ht="18" customHeight="1" x14ac:dyDescent="0.55000000000000004">
      <c r="A24" s="35" t="s">
        <v>240</v>
      </c>
      <c r="B24" s="29"/>
      <c r="C24" s="33">
        <f>IFERROR(INDEX(B17:B20,MATCH(C23,A17:A20,0)),"—")</f>
        <v>4.7</v>
      </c>
      <c r="D24" s="29"/>
      <c r="E24" s="29"/>
      <c r="F24" s="29"/>
      <c r="G24" s="29"/>
      <c r="H24" s="29"/>
    </row>
    <row r="25" spans="1:16" ht="18" customHeight="1" x14ac:dyDescent="0.55000000000000004">
      <c r="A25" s="35" t="s">
        <v>241</v>
      </c>
      <c r="B25" s="29"/>
      <c r="C25" s="36" t="str">
        <f>IFERROR(INDEX(A17:A20,MATCH(LARGE(G17:G20,2),G17:G20,0)),"—")</f>
        <v>SAFe</v>
      </c>
      <c r="D25" s="29"/>
      <c r="E25" s="29"/>
      <c r="F25" s="29"/>
      <c r="G25" s="29"/>
      <c r="H25" s="29"/>
    </row>
    <row r="26" spans="1:16" ht="18" customHeight="1" x14ac:dyDescent="0.55000000000000004">
      <c r="A26" s="35" t="s">
        <v>242</v>
      </c>
      <c r="B26" s="29"/>
      <c r="C26" s="33">
        <f>IF(LARGE(G17:G20,2)&lt;0,"—",LARGE(G17:G20,1)-LARGE(G17:G20,2))</f>
        <v>2.7</v>
      </c>
      <c r="D26" s="29"/>
      <c r="E26" s="29"/>
      <c r="F26" s="29"/>
      <c r="G26" s="29"/>
      <c r="H26" s="29"/>
    </row>
    <row r="27" spans="1:16" ht="18" customHeight="1" x14ac:dyDescent="0.55000000000000004">
      <c r="A27" s="35" t="s">
        <v>22</v>
      </c>
      <c r="B27" s="29"/>
      <c r="C27" s="36" t="str">
        <f>IF(COUNTIF(L17:L20,TRUE)&gt;1,"Sí: se aplicó la regla R6 de desempate","No")</f>
        <v>No</v>
      </c>
      <c r="D27" s="29"/>
      <c r="E27" s="29"/>
      <c r="F27" s="29"/>
      <c r="G27" s="29"/>
      <c r="H27" s="29"/>
    </row>
    <row r="28" spans="1:16" ht="18" customHeight="1" x14ac:dyDescent="0.55000000000000004">
      <c r="A28" s="35" t="s">
        <v>243</v>
      </c>
      <c r="B28" s="29"/>
      <c r="C28" s="39">
        <f>SUMIF(G6:G12,"Explícito",C6:C12)</f>
        <v>0.7</v>
      </c>
      <c r="D28" s="29"/>
      <c r="E28" s="29"/>
      <c r="F28" s="29"/>
      <c r="G28" s="29"/>
      <c r="H28" s="29"/>
    </row>
    <row r="29" spans="1:16" ht="18" customHeight="1" x14ac:dyDescent="0.55000000000000004">
      <c r="A29" s="35" t="s">
        <v>244</v>
      </c>
      <c r="B29" s="29"/>
      <c r="C29" s="39">
        <f>SUMIF(G6:G12,"Inferido",C6:C12)</f>
        <v>0.3</v>
      </c>
      <c r="D29" s="29"/>
      <c r="E29" s="29"/>
      <c r="F29" s="29"/>
      <c r="G29" s="29"/>
      <c r="H29" s="29"/>
    </row>
    <row r="30" spans="1:16" ht="18" customHeight="1" x14ac:dyDescent="0.55000000000000004">
      <c r="A30" s="35" t="s">
        <v>245</v>
      </c>
      <c r="B30" s="29"/>
      <c r="C30" s="39">
        <f>SUMIF(G6:G12,"Faltante",C6:C12)</f>
        <v>0</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Robusta: no hay datos faltantes</v>
      </c>
      <c r="D31" s="29"/>
      <c r="E31" s="29"/>
      <c r="F31" s="29"/>
      <c r="G31" s="29"/>
      <c r="H31" s="29"/>
    </row>
    <row r="32" spans="1:16" ht="30" customHeight="1" x14ac:dyDescent="0.55000000000000004">
      <c r="A32" s="35" t="s">
        <v>247</v>
      </c>
      <c r="B32" s="29"/>
      <c r="C32" s="38" t="s">
        <v>202</v>
      </c>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5" priority="1" operator="equal">
      <formula>"Excluido"</formula>
    </cfRule>
  </conditionalFormatting>
  <conditionalFormatting sqref="P17:P20">
    <cfRule type="expression" dxfId="4" priority="2">
      <formula>AND(ISNUMBER(P17),P17&lt;=0)</formula>
    </cfRule>
  </conditionalFormatting>
  <dataValidations count="8">
    <dataValidation type="list" allowBlank="1" sqref="G6 G7 G8 G9 G10 G11 G12" xr:uid="{00000000-0002-0000-0900-000000000000}">
      <formula1>"Explícito,Inferido,Faltante"</formula1>
    </dataValidation>
    <dataValidation type="whole" operator="greaterThanOrEqual" allowBlank="1" sqref="F6" xr:uid="{00000000-0002-0000-0900-000001000000}">
      <formula1>1</formula1>
    </dataValidation>
    <dataValidation type="list" allowBlank="1" sqref="F7" xr:uid="{00000000-0002-0000-0900-000002000000}">
      <formula1>"Un solo producto,Varias soluciones interdependientes,Productos o proyectos independientes"</formula1>
    </dataValidation>
    <dataValidation type="list" allowBlank="1" sqref="F8" xr:uid="{00000000-0002-0000-0900-000003000000}">
      <formula1>"Bajas,Medias,Altas"</formula1>
    </dataValidation>
    <dataValidation type="list" allowBlank="1" sqref="F9" xr:uid="{00000000-0002-0000-0900-000004000000}">
      <formula1>"Ligera,Variable por contrato o cliente,Regulatoria formal"</formula1>
    </dataValidation>
    <dataValidation type="list" allowBlank="1" sqref="F10" xr:uid="{00000000-0002-0000-0900-000005000000}">
      <formula1>"Bajo,Medio,Alto"</formula1>
    </dataValidation>
    <dataValidation type="list" allowBlank="1" sqref="F11:F12" xr:uid="{00000000-0002-0000-0900-000006000000}">
      <formula1>"Baja,Media,Alta"</formula1>
    </dataValidation>
    <dataValidation type="list" sqref="D17 D18 D19 D20" xr:uid="{00000000-0002-0000-0900-000008000000}">
      <formula1>"Sí,No"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28</v>
      </c>
    </row>
    <row r="2" spans="1:21" ht="60" customHeight="1" x14ac:dyDescent="0.55000000000000004">
      <c r="A2" s="2" t="s">
        <v>204</v>
      </c>
      <c r="B2" s="38" t="s">
        <v>281</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t="s">
        <v>282</v>
      </c>
      <c r="F6" s="13">
        <v>7</v>
      </c>
      <c r="G6" s="13" t="s">
        <v>250</v>
      </c>
      <c r="H6" s="19"/>
      <c r="I6" s="9" t="str">
        <f>IF(G6="Faltante","(faltante)",IF(F6="","",IF(F6&lt;=3,"1 a 3 equipos",IF(F6&lt;=9,"4 a 9 equipos",IF(F6&lt;=15,"10 a 15 equipos",IF(F6&lt;=50,"16 a 50 equipos","Más de 50 equipos"))))))</f>
        <v>4 a 9 equipos</v>
      </c>
      <c r="J6" s="22">
        <f>IF($G6="Faltante",PUNTAJE_NEUTRO,IF($I6="","",INDEX('2_Escalas_Reglas'!$E$15:$E$37,MATCH($A6&amp;"|"&amp;$I6,'2_Escalas_Reglas'!$A$15:$A$37,0))))</f>
        <v>5</v>
      </c>
      <c r="K6" s="22">
        <f>IF($G6="Faltante",PUNTAJE_NEUTRO,IF($I6="","",INDEX('2_Escalas_Reglas'!$F$15:$F$37,MATCH($A6&amp;"|"&amp;$I6,'2_Escalas_Reglas'!$A$15:$A$37,0))))</f>
        <v>5</v>
      </c>
      <c r="L6" s="22">
        <f>IF($G6="Faltante",PUNTAJE_NEUTRO,IF($I6="","",INDEX('2_Escalas_Reglas'!$G$15:$G$37,MATCH($A6&amp;"|"&amp;$I6,'2_Escalas_Reglas'!$A$15:$A$37,0))))</f>
        <v>3</v>
      </c>
      <c r="M6" s="22">
        <f>IF($G6="Faltante",PUNTAJE_NEUTRO,IF($I6="","",INDEX('2_Escalas_Reglas'!$H$15:$H$37,MATCH($A6&amp;"|"&amp;$I6,'2_Escalas_Reglas'!$A$15:$A$37,0))))</f>
        <v>4</v>
      </c>
      <c r="N6" s="23">
        <f t="shared" ref="N6:Q12" si="0">IF(J6="","",$C6*J6)</f>
        <v>0.75</v>
      </c>
      <c r="O6" s="23">
        <f t="shared" si="0"/>
        <v>0.75</v>
      </c>
      <c r="P6" s="23">
        <f t="shared" si="0"/>
        <v>0.44999999999999996</v>
      </c>
      <c r="Q6" s="23">
        <f t="shared" si="0"/>
        <v>0.6</v>
      </c>
      <c r="R6" s="23">
        <f>IF($G6="Faltante",IFERROR($C6*INDEX(Aux_Sensibilidad!$C$5:$I$20,MATCH($C$23&amp;"|"&amp;"Nexus",Aux_Sensibilidad!$B$5:$B$20,0),1),0),0)</f>
        <v>0</v>
      </c>
      <c r="S6" s="23">
        <f>IF($G6="Faltante",IFERROR($C6*INDEX(Aux_Sensibilidad!$C$5:$I$20,MATCH($C$23&amp;"|"&amp;"LeSS",Aux_Sensibilidad!$B$5:$B$20,0),1),0),0)</f>
        <v>0</v>
      </c>
      <c r="T6" s="23">
        <f>IF($G6="Faltante",IFERROR($C6*INDEX(Aux_Sensibilidad!$C$5:$I$20,MATCH($C$23&amp;"|"&amp;"SAFe",Aux_Sensibilidad!$B$5:$B$20,0),1),0),0)</f>
        <v>0</v>
      </c>
      <c r="U6" s="23">
        <f>IF($G6="Faltante",IFERROR($C6*INDEX(Aux_Sensibilidad!$C$5:$I$20,MATCH($C$23&amp;"|"&amp;"Disciplined Agile",Aux_Sensibilidad!$B$5:$B$20,0),1),0),0)</f>
        <v>0</v>
      </c>
    </row>
    <row r="7" spans="1:21" ht="60" customHeight="1" x14ac:dyDescent="0.55000000000000004">
      <c r="A7" s="20" t="s">
        <v>45</v>
      </c>
      <c r="B7" s="9" t="str">
        <f>'1_Criterios_Pesos'!B6</f>
        <v>Estructura de producto o solución</v>
      </c>
      <c r="C7" s="21">
        <f>'1_Criterios_Pesos'!D6</f>
        <v>0.2</v>
      </c>
      <c r="D7" s="7" t="str">
        <f>'1_Criterios_Pesos'!E6</f>
        <v>Sí</v>
      </c>
      <c r="E7" s="19" t="s">
        <v>283</v>
      </c>
      <c r="F7" s="13" t="s">
        <v>115</v>
      </c>
      <c r="G7" s="13" t="s">
        <v>250</v>
      </c>
      <c r="H7" s="19"/>
      <c r="I7" s="9" t="str">
        <f t="shared" ref="I7:I12" si="1">IF(G7="Faltante","(faltante)",IF(F7="","",F7))</f>
        <v>Un solo producto</v>
      </c>
      <c r="J7" s="22">
        <f>IF($G7="Faltante",PUNTAJE_NEUTRO,IF($I7="","",INDEX('2_Escalas_Reglas'!$E$15:$E$37,MATCH($A7&amp;"|"&amp;$I7,'2_Escalas_Reglas'!$A$15:$A$37,0))))</f>
        <v>5</v>
      </c>
      <c r="K7" s="22">
        <f>IF($G7="Faltante",PUNTAJE_NEUTRO,IF($I7="","",INDEX('2_Escalas_Reglas'!$F$15:$F$37,MATCH($A7&amp;"|"&amp;$I7,'2_Escalas_Reglas'!$A$15:$A$37,0))))</f>
        <v>5</v>
      </c>
      <c r="L7" s="22">
        <f>IF($G7="Faltante",PUNTAJE_NEUTRO,IF($I7="","",INDEX('2_Escalas_Reglas'!$G$15:$G$37,MATCH($A7&amp;"|"&amp;$I7,'2_Escalas_Reglas'!$A$15:$A$37,0))))</f>
        <v>3</v>
      </c>
      <c r="M7" s="22">
        <f>IF($G7="Faltante",PUNTAJE_NEUTRO,IF($I7="","",INDEX('2_Escalas_Reglas'!$H$15:$H$37,MATCH($A7&amp;"|"&amp;$I7,'2_Escalas_Reglas'!$A$15:$A$37,0))))</f>
        <v>3</v>
      </c>
      <c r="N7" s="23">
        <f t="shared" si="0"/>
        <v>1</v>
      </c>
      <c r="O7" s="23">
        <f t="shared" si="0"/>
        <v>1</v>
      </c>
      <c r="P7" s="23">
        <f t="shared" si="0"/>
        <v>0.60000000000000009</v>
      </c>
      <c r="Q7" s="23">
        <f t="shared" si="0"/>
        <v>0.60000000000000009</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t="s">
        <v>284</v>
      </c>
      <c r="F8" s="13" t="s">
        <v>127</v>
      </c>
      <c r="G8" s="13" t="s">
        <v>250</v>
      </c>
      <c r="H8" s="19"/>
      <c r="I8" s="9" t="str">
        <f t="shared" si="1"/>
        <v>Medias</v>
      </c>
      <c r="J8" s="22">
        <f>IF($G8="Faltante",PUNTAJE_NEUTRO,IF($I8="","",INDEX('2_Escalas_Reglas'!$E$15:$E$37,MATCH($A8&amp;"|"&amp;$I8,'2_Escalas_Reglas'!$A$15:$A$37,0))))</f>
        <v>5</v>
      </c>
      <c r="K8" s="22">
        <f>IF($G8="Faltante",PUNTAJE_NEUTRO,IF($I8="","",INDEX('2_Escalas_Reglas'!$F$15:$F$37,MATCH($A8&amp;"|"&amp;$I8,'2_Escalas_Reglas'!$A$15:$A$37,0))))</f>
        <v>4</v>
      </c>
      <c r="L8" s="22">
        <f>IF($G8="Faltante",PUNTAJE_NEUTRO,IF($I8="","",INDEX('2_Escalas_Reglas'!$G$15:$G$37,MATCH($A8&amp;"|"&amp;$I8,'2_Escalas_Reglas'!$A$15:$A$37,0))))</f>
        <v>4</v>
      </c>
      <c r="M8" s="22">
        <f>IF($G8="Faltante",PUNTAJE_NEUTRO,IF($I8="","",INDEX('2_Escalas_Reglas'!$H$15:$H$37,MATCH($A8&amp;"|"&amp;$I8,'2_Escalas_Reglas'!$A$15:$A$37,0))))</f>
        <v>4</v>
      </c>
      <c r="N8" s="23">
        <f t="shared" si="0"/>
        <v>0.75</v>
      </c>
      <c r="O8" s="23">
        <f t="shared" si="0"/>
        <v>0.6</v>
      </c>
      <c r="P8" s="23">
        <f t="shared" si="0"/>
        <v>0.6</v>
      </c>
      <c r="Q8" s="23">
        <f t="shared" si="0"/>
        <v>0.6</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t="s">
        <v>285</v>
      </c>
      <c r="F9" s="13" t="s">
        <v>139</v>
      </c>
      <c r="G9" s="13" t="s">
        <v>250</v>
      </c>
      <c r="H9" s="19"/>
      <c r="I9" s="9" t="str">
        <f t="shared" si="1"/>
        <v>Regulatoria formal</v>
      </c>
      <c r="J9" s="22">
        <f>IF($G9="Faltante",PUNTAJE_NEUTRO,IF($I9="","",INDEX('2_Escalas_Reglas'!$E$15:$E$37,MATCH($A9&amp;"|"&amp;$I9,'2_Escalas_Reglas'!$A$15:$A$37,0))))</f>
        <v>2</v>
      </c>
      <c r="K9" s="22">
        <f>IF($G9="Faltante",PUNTAJE_NEUTRO,IF($I9="","",INDEX('2_Escalas_Reglas'!$F$15:$F$37,MATCH($A9&amp;"|"&amp;$I9,'2_Escalas_Reglas'!$A$15:$A$37,0))))</f>
        <v>1</v>
      </c>
      <c r="L9" s="22">
        <f>IF($G9="Faltante",PUNTAJE_NEUTRO,IF($I9="","",INDEX('2_Escalas_Reglas'!$G$15:$G$37,MATCH($A9&amp;"|"&amp;$I9,'2_Escalas_Reglas'!$A$15:$A$37,0))))</f>
        <v>5</v>
      </c>
      <c r="M9" s="22">
        <f>IF($G9="Faltante",PUNTAJE_NEUTRO,IF($I9="","",INDEX('2_Escalas_Reglas'!$H$15:$H$37,MATCH($A9&amp;"|"&amp;$I9,'2_Escalas_Reglas'!$A$15:$A$37,0))))</f>
        <v>4</v>
      </c>
      <c r="N9" s="23">
        <f t="shared" si="0"/>
        <v>0.2</v>
      </c>
      <c r="O9" s="23">
        <f t="shared" si="0"/>
        <v>0.1</v>
      </c>
      <c r="P9" s="23">
        <f t="shared" si="0"/>
        <v>0.5</v>
      </c>
      <c r="Q9" s="23">
        <f t="shared" si="0"/>
        <v>0.4</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t="s">
        <v>286</v>
      </c>
      <c r="F10" s="13" t="s">
        <v>142</v>
      </c>
      <c r="G10" s="13" t="s">
        <v>250</v>
      </c>
      <c r="H10" s="19"/>
      <c r="I10" s="9" t="str">
        <f t="shared" si="1"/>
        <v>Bajo</v>
      </c>
      <c r="J10" s="22">
        <f>IF($G10="Faltante",PUNTAJE_NEUTRO,IF($I10="","",INDEX('2_Escalas_Reglas'!$E$15:$E$37,MATCH($A10&amp;"|"&amp;$I10,'2_Escalas_Reglas'!$A$15:$A$37,0))))</f>
        <v>4</v>
      </c>
      <c r="K10" s="22">
        <f>IF($G10="Faltante",PUNTAJE_NEUTRO,IF($I10="","",INDEX('2_Escalas_Reglas'!$F$15:$F$37,MATCH($A10&amp;"|"&amp;$I10,'2_Escalas_Reglas'!$A$15:$A$37,0))))</f>
        <v>4</v>
      </c>
      <c r="L10" s="22">
        <f>IF($G10="Faltante",PUNTAJE_NEUTRO,IF($I10="","",INDEX('2_Escalas_Reglas'!$G$15:$G$37,MATCH($A10&amp;"|"&amp;$I10,'2_Escalas_Reglas'!$A$15:$A$37,0))))</f>
        <v>1</v>
      </c>
      <c r="M10" s="22">
        <f>IF($G10="Faltante",PUNTAJE_NEUTRO,IF($I10="","",INDEX('2_Escalas_Reglas'!$H$15:$H$37,MATCH($A10&amp;"|"&amp;$I10,'2_Escalas_Reglas'!$A$15:$A$37,0))))</f>
        <v>4</v>
      </c>
      <c r="N10" s="23">
        <f t="shared" si="0"/>
        <v>0.6</v>
      </c>
      <c r="O10" s="23">
        <f t="shared" si="0"/>
        <v>0.6</v>
      </c>
      <c r="P10" s="23">
        <f t="shared" si="0"/>
        <v>0.15</v>
      </c>
      <c r="Q10" s="23">
        <f t="shared" si="0"/>
        <v>0.6</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v>
      </c>
      <c r="U10" s="23">
        <f>IF($G10="Faltante",IFERROR($C10*INDEX(Aux_Sensibilidad!$C$5:$I$20,MATCH($C$23&amp;"|"&amp;"Disciplined Agile",Aux_Sensibilidad!$B$5:$B$20,0),5),0),0)</f>
        <v>0</v>
      </c>
    </row>
    <row r="11" spans="1:21" ht="60" customHeight="1" x14ac:dyDescent="0.55000000000000004">
      <c r="A11" s="20" t="s">
        <v>66</v>
      </c>
      <c r="B11" s="9" t="str">
        <f>'1_Criterios_Pesos'!B10</f>
        <v>Autonomía y adaptación del proceso</v>
      </c>
      <c r="C11" s="21">
        <f>'1_Criterios_Pesos'!D10</f>
        <v>0.1</v>
      </c>
      <c r="D11" s="7" t="str">
        <f>'1_Criterios_Pesos'!E10</f>
        <v>No</v>
      </c>
      <c r="E11" s="19" t="s">
        <v>287</v>
      </c>
      <c r="F11" s="13"/>
      <c r="G11" s="13" t="s">
        <v>256</v>
      </c>
      <c r="H11" s="19" t="s">
        <v>269</v>
      </c>
      <c r="I11" s="9" t="str">
        <f t="shared" si="1"/>
        <v>(faltante)</v>
      </c>
      <c r="J11" s="22">
        <f>IF($G11="Faltante",PUNTAJE_NEUTRO,IF($I11="","",INDEX('2_Escalas_Reglas'!$E$15:$E$37,MATCH($A11&amp;"|"&amp;$I11,'2_Escalas_Reglas'!$A$15:$A$37,0))))</f>
        <v>2.5</v>
      </c>
      <c r="K11" s="22">
        <f>IF($G11="Faltante",PUNTAJE_NEUTRO,IF($I11="","",INDEX('2_Escalas_Reglas'!$F$15:$F$37,MATCH($A11&amp;"|"&amp;$I11,'2_Escalas_Reglas'!$A$15:$A$37,0))))</f>
        <v>2.5</v>
      </c>
      <c r="L11" s="22">
        <f>IF($G11="Faltante",PUNTAJE_NEUTRO,IF($I11="","",INDEX('2_Escalas_Reglas'!$G$15:$G$37,MATCH($A11&amp;"|"&amp;$I11,'2_Escalas_Reglas'!$A$15:$A$37,0))))</f>
        <v>2.5</v>
      </c>
      <c r="M11" s="22">
        <f>IF($G11="Faltante",PUNTAJE_NEUTRO,IF($I11="","",INDEX('2_Escalas_Reglas'!$H$15:$H$37,MATCH($A11&amp;"|"&amp;$I11,'2_Escalas_Reglas'!$A$15:$A$37,0))))</f>
        <v>2.5</v>
      </c>
      <c r="N11" s="23">
        <f t="shared" si="0"/>
        <v>0.25</v>
      </c>
      <c r="O11" s="23">
        <f t="shared" si="0"/>
        <v>0.25</v>
      </c>
      <c r="P11" s="23">
        <f t="shared" si="0"/>
        <v>0.25</v>
      </c>
      <c r="Q11" s="23">
        <f t="shared" si="0"/>
        <v>0.25</v>
      </c>
      <c r="R11" s="23">
        <f>IF($G11="Faltante",IFERROR($C11*INDEX(Aux_Sensibilidad!$C$5:$I$20,MATCH($C$23&amp;"|"&amp;"Nexus",Aux_Sensibilidad!$B$5:$B$20,0),6),0),0)</f>
        <v>0</v>
      </c>
      <c r="S11" s="23">
        <f>IF($G11="Faltante",IFERROR($C11*INDEX(Aux_Sensibilidad!$C$5:$I$20,MATCH($C$23&amp;"|"&amp;"LeSS",Aux_Sensibilidad!$B$5:$B$20,0),6),0),0)</f>
        <v>-0.1</v>
      </c>
      <c r="T11" s="23">
        <f>IF($G11="Faltante",IFERROR($C11*INDEX(Aux_Sensibilidad!$C$5:$I$20,MATCH($C$23&amp;"|"&amp;"SAFe",Aux_Sensibilidad!$B$5:$B$20,0),6),0),0)</f>
        <v>-0.1</v>
      </c>
      <c r="U11" s="23">
        <f>IF($G11="Faltante",IFERROR($C11*INDEX(Aux_Sensibilidad!$C$5:$I$20,MATCH($C$23&amp;"|"&amp;"Disciplined Agile",Aux_Sensibilidad!$B$5:$B$20,0),6),0),0)</f>
        <v>-0.4</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t="s">
        <v>288</v>
      </c>
      <c r="F12" s="13" t="s">
        <v>86</v>
      </c>
      <c r="G12" s="13" t="s">
        <v>250</v>
      </c>
      <c r="H12" s="19"/>
      <c r="I12" s="9" t="str">
        <f t="shared" si="1"/>
        <v>Baja</v>
      </c>
      <c r="J12" s="22">
        <f>IF($G12="Faltante",PUNTAJE_NEUTRO,IF($I12="","",INDEX('2_Escalas_Reglas'!$E$15:$E$37,MATCH($A12&amp;"|"&amp;$I12,'2_Escalas_Reglas'!$A$15:$A$37,0))))</f>
        <v>5</v>
      </c>
      <c r="K12" s="22">
        <f>IF($G12="Faltante",PUNTAJE_NEUTRO,IF($I12="","",INDEX('2_Escalas_Reglas'!$F$15:$F$37,MATCH($A12&amp;"|"&amp;$I12,'2_Escalas_Reglas'!$A$15:$A$37,0))))</f>
        <v>5</v>
      </c>
      <c r="L12" s="22">
        <f>IF($G12="Faltante",PUNTAJE_NEUTRO,IF($I12="","",INDEX('2_Escalas_Reglas'!$G$15:$G$37,MATCH($A12&amp;"|"&amp;$I12,'2_Escalas_Reglas'!$A$15:$A$37,0))))</f>
        <v>4</v>
      </c>
      <c r="M12" s="22">
        <f>IF($G12="Faltante",PUNTAJE_NEUTRO,IF($I12="","",INDEX('2_Escalas_Reglas'!$H$15:$H$37,MATCH($A12&amp;"|"&amp;$I12,'2_Escalas_Reglas'!$A$15:$A$37,0))))</f>
        <v>3</v>
      </c>
      <c r="N12" s="23">
        <f t="shared" si="0"/>
        <v>0.75</v>
      </c>
      <c r="O12" s="23">
        <f t="shared" si="0"/>
        <v>0.75</v>
      </c>
      <c r="P12" s="23">
        <f t="shared" si="0"/>
        <v>0.6</v>
      </c>
      <c r="Q12" s="23">
        <f t="shared" si="0"/>
        <v>0.44999999999999996</v>
      </c>
      <c r="R12" s="23">
        <f>IF($G12="Faltante",IFERROR($C12*INDEX(Aux_Sensibilidad!$C$5:$I$20,MATCH($C$23&amp;"|"&amp;"Nexus",Aux_Sensibilidad!$B$5:$B$20,0),7),0),0)</f>
        <v>0</v>
      </c>
      <c r="S12" s="23">
        <f>IF($G12="Faltante",IFERROR($C12*INDEX(Aux_Sensibilidad!$C$5:$I$20,MATCH($C$23&amp;"|"&amp;"LeSS",Aux_Sensibilidad!$B$5:$B$20,0),7),0),0)</f>
        <v>0</v>
      </c>
      <c r="T12" s="23">
        <f>IF($G12="Faltante",IFERROR($C12*INDEX(Aux_Sensibilidad!$C$5:$I$20,MATCH($C$23&amp;"|"&amp;"SAFe",Aux_Sensibilidad!$B$5:$B$20,0),7),0),0)</f>
        <v>0</v>
      </c>
      <c r="U12" s="23">
        <f>IF($G12="Faltante",IFERROR($C12*INDEX(Aux_Sensibilidad!$C$5:$I$20,MATCH($C$23&amp;"|"&amp;"Disciplined Agile",Aux_Sensibilidad!$B$5:$B$20,0),7),0),0)</f>
        <v>0</v>
      </c>
    </row>
    <row r="13" spans="1:21" x14ac:dyDescent="0.55000000000000004">
      <c r="I13" s="2" t="s">
        <v>220</v>
      </c>
      <c r="N13" s="24">
        <f t="shared" ref="N13:U13" si="2">SUM(N6:N12)</f>
        <v>4.3000000000000007</v>
      </c>
      <c r="O13" s="24">
        <f t="shared" si="2"/>
        <v>4.0500000000000007</v>
      </c>
      <c r="P13" s="24">
        <f t="shared" si="2"/>
        <v>3.15</v>
      </c>
      <c r="Q13" s="24">
        <f t="shared" si="2"/>
        <v>3.5</v>
      </c>
      <c r="R13" s="25">
        <f t="shared" si="2"/>
        <v>0</v>
      </c>
      <c r="S13" s="25">
        <f t="shared" si="2"/>
        <v>-0.1</v>
      </c>
      <c r="T13" s="25">
        <f t="shared" si="2"/>
        <v>-0.1</v>
      </c>
      <c r="U13" s="25">
        <f t="shared" si="2"/>
        <v>-0.4</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4.3000000000000007</v>
      </c>
      <c r="C17" s="7" t="str">
        <f>IF(SUMPRODUCT(($D$6:$D$12="Sí")*(J$6:J$12=0)*($G$6:$G$12&lt;&gt;"Faltante"))&gt;0,"Sí","No")</f>
        <v>No</v>
      </c>
      <c r="D17" s="13" t="s">
        <v>53</v>
      </c>
      <c r="E17" s="19"/>
      <c r="F17" s="7" t="str">
        <f>IF(OR(C17="Sí",D17="Sí"),"Excluido","Elegible")</f>
        <v>Elegible</v>
      </c>
      <c r="G17" s="6">
        <f>IF(F17="Excluido",-1,B17)</f>
        <v>4.3000000000000007</v>
      </c>
      <c r="H17" s="7">
        <f>IF(F17="Excluido","—",RANK(G17,$G$17:$G$20))</f>
        <v>1</v>
      </c>
      <c r="I17" s="7">
        <f>COUNTIF(J$6:J$12,"&lt;=1")</f>
        <v>0</v>
      </c>
      <c r="J17" s="6">
        <f>SUMIF($D$6:$D$12,"Sí",N$6:N$12)</f>
        <v>2.5</v>
      </c>
      <c r="K17" s="7">
        <v>4</v>
      </c>
      <c r="L17" s="7" t="b">
        <f>AND(F17="Elegible",ROUND(B17,4)&gt;=ROUND($C$22-UMBRAL_EMPATE,4))</f>
        <v>1</v>
      </c>
      <c r="M17" s="27">
        <f>IF(L17,10000-I17*1000+J17*100+K17,-1)</f>
        <v>10254</v>
      </c>
      <c r="N17" s="6" t="str">
        <f>IF(OR(F17="Excluido",A17=$C$23),"—",INDEX($B$17:$B$20,MATCH($C$23,$A$17:$A$20,0))-B17)</f>
        <v>—</v>
      </c>
      <c r="O17" s="6">
        <f>R13</f>
        <v>0</v>
      </c>
      <c r="P17" s="6" t="str">
        <f>IF(OR(F17="Excluido",A17=$C$23),"—",N17+O17)</f>
        <v>—</v>
      </c>
    </row>
    <row r="18" spans="1:16" x14ac:dyDescent="0.55000000000000004">
      <c r="A18" s="20" t="s">
        <v>17</v>
      </c>
      <c r="B18" s="26">
        <f>O13</f>
        <v>4.0500000000000007</v>
      </c>
      <c r="C18" s="7" t="str">
        <f>IF(SUMPRODUCT(($D$6:$D$12="Sí")*(K$6:K$12=0)*($G$6:$G$12&lt;&gt;"Faltante"))&gt;0,"Sí","No")</f>
        <v>No</v>
      </c>
      <c r="D18" s="13" t="s">
        <v>53</v>
      </c>
      <c r="E18" s="19"/>
      <c r="F18" s="7" t="str">
        <f>IF(OR(C18="Sí",D18="Sí"),"Excluido","Elegible")</f>
        <v>Elegible</v>
      </c>
      <c r="G18" s="6">
        <f>IF(F18="Excluido",-1,B18)</f>
        <v>4.0500000000000007</v>
      </c>
      <c r="H18" s="7">
        <f>IF(F18="Excluido","—",RANK(G18,$G$17:$G$20))</f>
        <v>2</v>
      </c>
      <c r="I18" s="7">
        <f>COUNTIF(K$6:K$12,"&lt;=1")</f>
        <v>1</v>
      </c>
      <c r="J18" s="6">
        <f>SUMIF($D$6:$D$12,"Sí",O$6:O$12)</f>
        <v>2.5</v>
      </c>
      <c r="K18" s="7">
        <v>3</v>
      </c>
      <c r="L18" s="7" t="b">
        <f>AND(F18="Elegible",ROUND(B18,4)&gt;=ROUND($C$22-UMBRAL_EMPATE,4))</f>
        <v>0</v>
      </c>
      <c r="M18" s="27">
        <f>IF(L18,10000-I18*1000+J18*100+K18,-1)</f>
        <v>-1</v>
      </c>
      <c r="N18" s="6">
        <f>IF(OR(F18="Excluido",A18=$C$23),"—",INDEX($B$17:$B$20,MATCH($C$23,$A$17:$A$20,0))-B18)</f>
        <v>0.25</v>
      </c>
      <c r="O18" s="6">
        <f>S13</f>
        <v>-0.1</v>
      </c>
      <c r="P18" s="6">
        <f>IF(OR(F18="Excluido",A18=$C$23),"—",N18+O18)</f>
        <v>0.15</v>
      </c>
    </row>
    <row r="19" spans="1:16" x14ac:dyDescent="0.55000000000000004">
      <c r="A19" s="20" t="s">
        <v>18</v>
      </c>
      <c r="B19" s="26">
        <f>P13</f>
        <v>3.15</v>
      </c>
      <c r="C19" s="7" t="str">
        <f>IF(SUMPRODUCT(($D$6:$D$12="Sí")*(L$6:L$12=0)*($G$6:$G$12&lt;&gt;"Faltante"))&gt;0,"Sí","No")</f>
        <v>No</v>
      </c>
      <c r="D19" s="13" t="s">
        <v>53</v>
      </c>
      <c r="E19" s="19"/>
      <c r="F19" s="7" t="str">
        <f>IF(OR(C19="Sí",D19="Sí"),"Excluido","Elegible")</f>
        <v>Elegible</v>
      </c>
      <c r="G19" s="6">
        <f>IF(F19="Excluido",-1,B19)</f>
        <v>3.15</v>
      </c>
      <c r="H19" s="7">
        <f>IF(F19="Excluido","—",RANK(G19,$G$17:$G$20))</f>
        <v>4</v>
      </c>
      <c r="I19" s="7">
        <f>COUNTIF(L$6:L$12,"&lt;=1")</f>
        <v>1</v>
      </c>
      <c r="J19" s="6">
        <f>SUMIF($D$6:$D$12,"Sí",P$6:P$12)</f>
        <v>1.65</v>
      </c>
      <c r="K19" s="7">
        <v>1</v>
      </c>
      <c r="L19" s="7" t="b">
        <f>AND(F19="Elegible",ROUND(B19,4)&gt;=ROUND($C$22-UMBRAL_EMPATE,4))</f>
        <v>0</v>
      </c>
      <c r="M19" s="27">
        <f>IF(L19,10000-I19*1000+J19*100+K19,-1)</f>
        <v>-1</v>
      </c>
      <c r="N19" s="6">
        <f>IF(OR(F19="Excluido",A19=$C$23),"—",INDEX($B$17:$B$20,MATCH($C$23,$A$17:$A$20,0))-B19)</f>
        <v>1.1500000000000008</v>
      </c>
      <c r="O19" s="6">
        <f>T13</f>
        <v>-0.1</v>
      </c>
      <c r="P19" s="6">
        <f>IF(OR(F19="Excluido",A19=$C$23),"—",N19+O19)</f>
        <v>1.0500000000000007</v>
      </c>
    </row>
    <row r="20" spans="1:16" ht="28.8" x14ac:dyDescent="0.55000000000000004">
      <c r="A20" s="20" t="s">
        <v>202</v>
      </c>
      <c r="B20" s="26">
        <f>Q13</f>
        <v>3.5</v>
      </c>
      <c r="C20" s="7" t="str">
        <f>IF(SUMPRODUCT(($D$6:$D$12="Sí")*(M$6:M$12=0)*($G$6:$G$12&lt;&gt;"Faltante"))&gt;0,"Sí","No")</f>
        <v>No</v>
      </c>
      <c r="D20" s="13" t="s">
        <v>53</v>
      </c>
      <c r="E20" s="19"/>
      <c r="F20" s="7" t="str">
        <f>IF(OR(C20="Sí",D20="Sí"),"Excluido","Elegible")</f>
        <v>Elegible</v>
      </c>
      <c r="G20" s="6">
        <f>IF(F20="Excluido",-1,B20)</f>
        <v>3.5</v>
      </c>
      <c r="H20" s="7">
        <f>IF(F20="Excluido","—",RANK(G20,$G$17:$G$20))</f>
        <v>3</v>
      </c>
      <c r="I20" s="7">
        <f>COUNTIF(M$6:M$12,"&lt;=1")</f>
        <v>0</v>
      </c>
      <c r="J20" s="6">
        <f>SUMIF($D$6:$D$12,"Sí",Q$6:Q$12)</f>
        <v>1.6500000000000001</v>
      </c>
      <c r="K20" s="7">
        <v>2</v>
      </c>
      <c r="L20" s="7" t="b">
        <f>AND(F20="Elegible",ROUND(B20,4)&gt;=ROUND($C$22-UMBRAL_EMPATE,4))</f>
        <v>0</v>
      </c>
      <c r="M20" s="27">
        <f>IF(L20,10000-I20*1000+J20*100+K20,-1)</f>
        <v>-1</v>
      </c>
      <c r="N20" s="6">
        <f>IF(OR(F20="Excluido",A20=$C$23),"—",INDEX($B$17:$B$20,MATCH($C$23,$A$17:$A$20,0))-B20)</f>
        <v>0.80000000000000071</v>
      </c>
      <c r="O20" s="6">
        <f>U13</f>
        <v>-0.4</v>
      </c>
      <c r="P20" s="6">
        <f>IF(OR(F20="Excluido",A20=$C$23),"—",N20+O20)</f>
        <v>0.40000000000000069</v>
      </c>
    </row>
    <row r="22" spans="1:16" ht="18" customHeight="1" x14ac:dyDescent="0.55000000000000004">
      <c r="A22" s="35" t="s">
        <v>238</v>
      </c>
      <c r="B22" s="29"/>
      <c r="C22" s="33">
        <f>MAX(G17:G20)</f>
        <v>4.3000000000000007</v>
      </c>
      <c r="D22" s="29"/>
      <c r="E22" s="29"/>
      <c r="F22" s="29"/>
      <c r="G22" s="29"/>
      <c r="H22" s="29"/>
    </row>
    <row r="23" spans="1:16" ht="18" customHeight="1" x14ac:dyDescent="0.55000000000000004">
      <c r="A23" s="35" t="s">
        <v>239</v>
      </c>
      <c r="B23" s="29"/>
      <c r="C23" s="37" t="str">
        <f>IF(MAX(M17:M20)&lt;0,"Ninguno compatible",INDEX(A17:A20,MATCH(MAX(M17:M20),M17:M20,0)))</f>
        <v>Nexus</v>
      </c>
      <c r="D23" s="29"/>
      <c r="E23" s="29"/>
      <c r="F23" s="29"/>
      <c r="G23" s="29"/>
      <c r="H23" s="29"/>
    </row>
    <row r="24" spans="1:16" ht="18" customHeight="1" x14ac:dyDescent="0.55000000000000004">
      <c r="A24" s="35" t="s">
        <v>240</v>
      </c>
      <c r="B24" s="29"/>
      <c r="C24" s="33">
        <f>IFERROR(INDEX(B17:B20,MATCH(C23,A17:A20,0)),"—")</f>
        <v>4.3000000000000007</v>
      </c>
      <c r="D24" s="29"/>
      <c r="E24" s="29"/>
      <c r="F24" s="29"/>
      <c r="G24" s="29"/>
      <c r="H24" s="29"/>
    </row>
    <row r="25" spans="1:16" ht="18" customHeight="1" x14ac:dyDescent="0.55000000000000004">
      <c r="A25" s="35" t="s">
        <v>241</v>
      </c>
      <c r="B25" s="29"/>
      <c r="C25" s="36" t="str">
        <f>IFERROR(INDEX(A17:A20,MATCH(LARGE(G17:G20,2),G17:G20,0)),"—")</f>
        <v>LeSS</v>
      </c>
      <c r="D25" s="29"/>
      <c r="E25" s="29"/>
      <c r="F25" s="29"/>
      <c r="G25" s="29"/>
      <c r="H25" s="29"/>
    </row>
    <row r="26" spans="1:16" ht="18" customHeight="1" x14ac:dyDescent="0.55000000000000004">
      <c r="A26" s="35" t="s">
        <v>242</v>
      </c>
      <c r="B26" s="29"/>
      <c r="C26" s="33">
        <f>IF(LARGE(G17:G20,2)&lt;0,"—",LARGE(G17:G20,1)-LARGE(G17:G20,2))</f>
        <v>0.25</v>
      </c>
      <c r="D26" s="29"/>
      <c r="E26" s="29"/>
      <c r="F26" s="29"/>
      <c r="G26" s="29"/>
      <c r="H26" s="29"/>
    </row>
    <row r="27" spans="1:16" ht="18" customHeight="1" x14ac:dyDescent="0.55000000000000004">
      <c r="A27" s="35" t="s">
        <v>22</v>
      </c>
      <c r="B27" s="29"/>
      <c r="C27" s="36" t="str">
        <f>IF(COUNTIF(L17:L20,TRUE)&gt;1,"Sí: se aplicó la regla R6 de desempate","No")</f>
        <v>No</v>
      </c>
      <c r="D27" s="29"/>
      <c r="E27" s="29"/>
      <c r="F27" s="29"/>
      <c r="G27" s="29"/>
      <c r="H27" s="29"/>
    </row>
    <row r="28" spans="1:16" ht="18" customHeight="1" x14ac:dyDescent="0.55000000000000004">
      <c r="A28" s="35" t="s">
        <v>243</v>
      </c>
      <c r="B28" s="29"/>
      <c r="C28" s="39">
        <f>SUMIF(G6:G12,"Explícito",C6:C12)</f>
        <v>0.9</v>
      </c>
      <c r="D28" s="29"/>
      <c r="E28" s="29"/>
      <c r="F28" s="29"/>
      <c r="G28" s="29"/>
      <c r="H28" s="29"/>
    </row>
    <row r="29" spans="1:16" ht="18" customHeight="1" x14ac:dyDescent="0.55000000000000004">
      <c r="A29" s="35" t="s">
        <v>244</v>
      </c>
      <c r="B29" s="29"/>
      <c r="C29" s="39">
        <f>SUMIF(G6:G12,"Inferido",C6:C12)</f>
        <v>0</v>
      </c>
      <c r="D29" s="29"/>
      <c r="E29" s="29"/>
      <c r="F29" s="29"/>
      <c r="G29" s="29"/>
      <c r="H29" s="29"/>
    </row>
    <row r="30" spans="1:16" ht="18" customHeight="1" x14ac:dyDescent="0.55000000000000004">
      <c r="A30" s="35" t="s">
        <v>245</v>
      </c>
      <c r="B30" s="29"/>
      <c r="C30" s="39">
        <f>SUMIF(G6:G12,"Faltante",C6:C12)</f>
        <v>0.1</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Robusta: ningún valor posible de los datos faltantes cambia la recomendación</v>
      </c>
      <c r="D31" s="29"/>
      <c r="E31" s="29"/>
      <c r="F31" s="29"/>
      <c r="G31" s="29"/>
      <c r="H31" s="29"/>
    </row>
    <row r="32" spans="1:16" ht="30" customHeight="1" x14ac:dyDescent="0.55000000000000004">
      <c r="A32" s="35" t="s">
        <v>247</v>
      </c>
      <c r="B32" s="29"/>
      <c r="C32" s="38" t="s">
        <v>289</v>
      </c>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3" priority="1" operator="equal">
      <formula>"Excluido"</formula>
    </cfRule>
  </conditionalFormatting>
  <conditionalFormatting sqref="P17:P20">
    <cfRule type="expression" dxfId="2" priority="2">
      <formula>AND(ISNUMBER(P17),P17&lt;=0)</formula>
    </cfRule>
  </conditionalFormatting>
  <dataValidations count="8">
    <dataValidation type="list" allowBlank="1" sqref="G6 G7 G8 G9 G10 G11 G12" xr:uid="{00000000-0002-0000-0A00-000000000000}">
      <formula1>"Explícito,Inferido,Faltante"</formula1>
    </dataValidation>
    <dataValidation type="whole" operator="greaterThanOrEqual" allowBlank="1" sqref="F6" xr:uid="{00000000-0002-0000-0A00-000001000000}">
      <formula1>1</formula1>
    </dataValidation>
    <dataValidation type="list" allowBlank="1" sqref="F7" xr:uid="{00000000-0002-0000-0A00-000002000000}">
      <formula1>"Un solo producto,Varias soluciones interdependientes,Productos o proyectos independientes"</formula1>
    </dataValidation>
    <dataValidation type="list" allowBlank="1" sqref="F8" xr:uid="{00000000-0002-0000-0A00-000003000000}">
      <formula1>"Bajas,Medias,Altas"</formula1>
    </dataValidation>
    <dataValidation type="list" allowBlank="1" sqref="F9" xr:uid="{00000000-0002-0000-0A00-000004000000}">
      <formula1>"Ligera,Variable por contrato o cliente,Regulatoria formal"</formula1>
    </dataValidation>
    <dataValidation type="list" allowBlank="1" sqref="F10" xr:uid="{00000000-0002-0000-0A00-000005000000}">
      <formula1>"Bajo,Medio,Alto"</formula1>
    </dataValidation>
    <dataValidation type="list" allowBlank="1" sqref="F11:F12" xr:uid="{00000000-0002-0000-0A00-000006000000}">
      <formula1>"Baja,Media,Alta"</formula1>
    </dataValidation>
    <dataValidation type="list" sqref="D17 D18 D19 D20" xr:uid="{00000000-0002-0000-0A00-000008000000}">
      <formula1>"Sí,No"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2"/>
  <sheetViews>
    <sheetView workbookViewId="0">
      <pane xSplit="1" ySplit="5" topLeftCell="B6" activePane="bottomRight" state="frozen"/>
      <selection pane="topRight"/>
      <selection pane="bottomLeft"/>
      <selection pane="bottomRight"/>
    </sheetView>
  </sheetViews>
  <sheetFormatPr defaultRowHeight="14.4" x14ac:dyDescent="0.55000000000000004"/>
  <cols>
    <col min="1" max="1" width="9" customWidth="1"/>
    <col min="2" max="2" width="24" customWidth="1"/>
    <col min="3" max="3" width="9" customWidth="1"/>
    <col min="4" max="4" width="11" customWidth="1"/>
    <col min="5" max="5" width="34" customWidth="1"/>
    <col min="6" max="6" width="22" customWidth="1"/>
    <col min="7" max="7" width="12" customWidth="1"/>
    <col min="8" max="8" width="32" customWidth="1"/>
    <col min="9" max="9" width="20" customWidth="1"/>
    <col min="10" max="13" width="8" customWidth="1"/>
    <col min="14" max="17" width="9" customWidth="1"/>
    <col min="18" max="21" width="10" customWidth="1"/>
  </cols>
  <sheetData>
    <row r="1" spans="1:21" ht="18.3" x14ac:dyDescent="0.7">
      <c r="A1" s="1" t="s">
        <v>29</v>
      </c>
    </row>
    <row r="2" spans="1:21" ht="60" customHeight="1" x14ac:dyDescent="0.55000000000000004">
      <c r="A2" s="2" t="s">
        <v>204</v>
      </c>
      <c r="B2" s="38" t="s">
        <v>290</v>
      </c>
      <c r="C2" s="31"/>
      <c r="D2" s="31"/>
      <c r="E2" s="31"/>
      <c r="F2" s="31"/>
      <c r="G2" s="31"/>
      <c r="H2" s="31"/>
      <c r="I2" s="31"/>
      <c r="J2" s="31"/>
      <c r="K2" s="31"/>
      <c r="L2" s="31"/>
      <c r="M2" s="31"/>
      <c r="N2" s="31"/>
      <c r="O2" s="31"/>
      <c r="P2" s="31"/>
      <c r="Q2" s="32"/>
    </row>
    <row r="4" spans="1:21" x14ac:dyDescent="0.55000000000000004">
      <c r="A4" s="16" t="s">
        <v>206</v>
      </c>
    </row>
    <row r="5" spans="1:21" ht="45" customHeight="1" x14ac:dyDescent="0.55000000000000004">
      <c r="A5" s="4" t="s">
        <v>32</v>
      </c>
      <c r="B5" s="4" t="s">
        <v>33</v>
      </c>
      <c r="C5" s="4" t="s">
        <v>35</v>
      </c>
      <c r="D5" s="4" t="s">
        <v>36</v>
      </c>
      <c r="E5" s="4" t="s">
        <v>207</v>
      </c>
      <c r="F5" s="4" t="s">
        <v>208</v>
      </c>
      <c r="G5" s="4" t="s">
        <v>209</v>
      </c>
      <c r="H5" s="4" t="s">
        <v>210</v>
      </c>
      <c r="I5" s="4" t="s">
        <v>211</v>
      </c>
      <c r="J5" s="4" t="s">
        <v>16</v>
      </c>
      <c r="K5" s="4" t="s">
        <v>17</v>
      </c>
      <c r="L5" s="4" t="s">
        <v>18</v>
      </c>
      <c r="M5" s="4" t="s">
        <v>19</v>
      </c>
      <c r="N5" s="4" t="s">
        <v>212</v>
      </c>
      <c r="O5" s="4" t="s">
        <v>213</v>
      </c>
      <c r="P5" s="4" t="s">
        <v>214</v>
      </c>
      <c r="Q5" s="4" t="s">
        <v>215</v>
      </c>
      <c r="R5" s="4" t="s">
        <v>216</v>
      </c>
      <c r="S5" s="4" t="s">
        <v>217</v>
      </c>
      <c r="T5" s="4" t="s">
        <v>218</v>
      </c>
      <c r="U5" s="4" t="s">
        <v>219</v>
      </c>
    </row>
    <row r="6" spans="1:21" ht="60" customHeight="1" x14ac:dyDescent="0.55000000000000004">
      <c r="A6" s="20" t="s">
        <v>39</v>
      </c>
      <c r="B6" s="9" t="str">
        <f>'1_Criterios_Pesos'!B5</f>
        <v>Escala (número de equipos)</v>
      </c>
      <c r="C6" s="21">
        <f>'1_Criterios_Pesos'!D5</f>
        <v>0.15</v>
      </c>
      <c r="D6" s="7" t="str">
        <f>'1_Criterios_Pesos'!E5</f>
        <v>Sí</v>
      </c>
      <c r="E6" s="19" t="s">
        <v>291</v>
      </c>
      <c r="F6" s="13"/>
      <c r="G6" s="13" t="s">
        <v>256</v>
      </c>
      <c r="H6" s="19" t="s">
        <v>292</v>
      </c>
      <c r="I6" s="9" t="str">
        <f>IF(G6="Faltante","(faltante)",IF(F6="","",IF(F6&lt;=3,"1 a 3 equipos",IF(F6&lt;=9,"4 a 9 equipos",IF(F6&lt;=15,"10 a 15 equipos",IF(F6&lt;=50,"16 a 50 equipos","Más de 50 equipos"))))))</f>
        <v>(faltante)</v>
      </c>
      <c r="J6" s="22">
        <f>IF($G6="Faltante",PUNTAJE_NEUTRO,IF($I6="","",INDEX('2_Escalas_Reglas'!$E$15:$E$37,MATCH($A6&amp;"|"&amp;$I6,'2_Escalas_Reglas'!$A$15:$A$37,0))))</f>
        <v>2.5</v>
      </c>
      <c r="K6" s="22">
        <f>IF($G6="Faltante",PUNTAJE_NEUTRO,IF($I6="","",INDEX('2_Escalas_Reglas'!$F$15:$F$37,MATCH($A6&amp;"|"&amp;$I6,'2_Escalas_Reglas'!$A$15:$A$37,0))))</f>
        <v>2.5</v>
      </c>
      <c r="L6" s="22">
        <f>IF($G6="Faltante",PUNTAJE_NEUTRO,IF($I6="","",INDEX('2_Escalas_Reglas'!$G$15:$G$37,MATCH($A6&amp;"|"&amp;$I6,'2_Escalas_Reglas'!$A$15:$A$37,0))))</f>
        <v>2.5</v>
      </c>
      <c r="M6" s="22">
        <f>IF($G6="Faltante",PUNTAJE_NEUTRO,IF($I6="","",INDEX('2_Escalas_Reglas'!$H$15:$H$37,MATCH($A6&amp;"|"&amp;$I6,'2_Escalas_Reglas'!$A$15:$A$37,0))))</f>
        <v>2.5</v>
      </c>
      <c r="N6" s="23">
        <f t="shared" ref="N6:Q12" si="0">IF(J6="","",$C6*J6)</f>
        <v>0.375</v>
      </c>
      <c r="O6" s="23">
        <f t="shared" si="0"/>
        <v>0.375</v>
      </c>
      <c r="P6" s="23">
        <f t="shared" si="0"/>
        <v>0.375</v>
      </c>
      <c r="Q6" s="23">
        <f t="shared" si="0"/>
        <v>0.375</v>
      </c>
      <c r="R6" s="23">
        <f>IF($G6="Faltante",IFERROR($C6*INDEX(Aux_Sensibilidad!$C$5:$I$20,MATCH($C$23&amp;"|"&amp;"Nexus",Aux_Sensibilidad!$B$5:$B$20,0),1),0),0)</f>
        <v>0</v>
      </c>
      <c r="S6" s="23">
        <f>IF($G6="Faltante",IFERROR($C6*INDEX(Aux_Sensibilidad!$C$5:$I$20,MATCH($C$23&amp;"|"&amp;"LeSS",Aux_Sensibilidad!$B$5:$B$20,0),1),0),0)</f>
        <v>-0.3</v>
      </c>
      <c r="T6" s="23">
        <f>IF($G6="Faltante",IFERROR($C6*INDEX(Aux_Sensibilidad!$C$5:$I$20,MATCH($C$23&amp;"|"&amp;"SAFe",Aux_Sensibilidad!$B$5:$B$20,0),1),0),0)</f>
        <v>-0.75</v>
      </c>
      <c r="U6" s="23">
        <f>IF($G6="Faltante",IFERROR($C6*INDEX(Aux_Sensibilidad!$C$5:$I$20,MATCH($C$23&amp;"|"&amp;"Disciplined Agile",Aux_Sensibilidad!$B$5:$B$20,0),1),0),0)</f>
        <v>-0.44999999999999996</v>
      </c>
    </row>
    <row r="7" spans="1:21" ht="60" customHeight="1" x14ac:dyDescent="0.55000000000000004">
      <c r="A7" s="20" t="s">
        <v>45</v>
      </c>
      <c r="B7" s="9" t="str">
        <f>'1_Criterios_Pesos'!B6</f>
        <v>Estructura de producto o solución</v>
      </c>
      <c r="C7" s="21">
        <f>'1_Criterios_Pesos'!D6</f>
        <v>0.2</v>
      </c>
      <c r="D7" s="7" t="str">
        <f>'1_Criterios_Pesos'!E6</f>
        <v>Sí</v>
      </c>
      <c r="E7" s="19" t="s">
        <v>293</v>
      </c>
      <c r="F7" s="13" t="s">
        <v>115</v>
      </c>
      <c r="G7" s="13" t="s">
        <v>259</v>
      </c>
      <c r="H7" s="19" t="s">
        <v>294</v>
      </c>
      <c r="I7" s="9" t="str">
        <f t="shared" ref="I7:I12" si="1">IF(G7="Faltante","(faltante)",IF(F7="","",F7))</f>
        <v>Un solo producto</v>
      </c>
      <c r="J7" s="22">
        <f>IF($G7="Faltante",PUNTAJE_NEUTRO,IF($I7="","",INDEX('2_Escalas_Reglas'!$E$15:$E$37,MATCH($A7&amp;"|"&amp;$I7,'2_Escalas_Reglas'!$A$15:$A$37,0))))</f>
        <v>5</v>
      </c>
      <c r="K7" s="22">
        <f>IF($G7="Faltante",PUNTAJE_NEUTRO,IF($I7="","",INDEX('2_Escalas_Reglas'!$F$15:$F$37,MATCH($A7&amp;"|"&amp;$I7,'2_Escalas_Reglas'!$A$15:$A$37,0))))</f>
        <v>5</v>
      </c>
      <c r="L7" s="22">
        <f>IF($G7="Faltante",PUNTAJE_NEUTRO,IF($I7="","",INDEX('2_Escalas_Reglas'!$G$15:$G$37,MATCH($A7&amp;"|"&amp;$I7,'2_Escalas_Reglas'!$A$15:$A$37,0))))</f>
        <v>3</v>
      </c>
      <c r="M7" s="22">
        <f>IF($G7="Faltante",PUNTAJE_NEUTRO,IF($I7="","",INDEX('2_Escalas_Reglas'!$H$15:$H$37,MATCH($A7&amp;"|"&amp;$I7,'2_Escalas_Reglas'!$A$15:$A$37,0))))</f>
        <v>3</v>
      </c>
      <c r="N7" s="23">
        <f t="shared" si="0"/>
        <v>1</v>
      </c>
      <c r="O7" s="23">
        <f t="shared" si="0"/>
        <v>1</v>
      </c>
      <c r="P7" s="23">
        <f t="shared" si="0"/>
        <v>0.60000000000000009</v>
      </c>
      <c r="Q7" s="23">
        <f t="shared" si="0"/>
        <v>0.60000000000000009</v>
      </c>
      <c r="R7" s="23">
        <f>IF($G7="Faltante",IFERROR($C7*INDEX(Aux_Sensibilidad!$C$5:$I$20,MATCH($C$23&amp;"|"&amp;"Nexus",Aux_Sensibilidad!$B$5:$B$20,0),2),0),0)</f>
        <v>0</v>
      </c>
      <c r="S7" s="23">
        <f>IF($G7="Faltante",IFERROR($C7*INDEX(Aux_Sensibilidad!$C$5:$I$20,MATCH($C$23&amp;"|"&amp;"LeSS",Aux_Sensibilidad!$B$5:$B$20,0),2),0),0)</f>
        <v>0</v>
      </c>
      <c r="T7" s="23">
        <f>IF($G7="Faltante",IFERROR($C7*INDEX(Aux_Sensibilidad!$C$5:$I$20,MATCH($C$23&amp;"|"&amp;"SAFe",Aux_Sensibilidad!$B$5:$B$20,0),2),0),0)</f>
        <v>0</v>
      </c>
      <c r="U7" s="23">
        <f>IF($G7="Faltante",IFERROR($C7*INDEX(Aux_Sensibilidad!$C$5:$I$20,MATCH($C$23&amp;"|"&amp;"Disciplined Agile",Aux_Sensibilidad!$B$5:$B$20,0),2),0),0)</f>
        <v>0</v>
      </c>
    </row>
    <row r="8" spans="1:21" ht="60" customHeight="1" x14ac:dyDescent="0.55000000000000004">
      <c r="A8" s="20" t="s">
        <v>50</v>
      </c>
      <c r="B8" s="9" t="str">
        <f>'1_Criterios_Pesos'!B7</f>
        <v>Dependencias entre equipos y áreas</v>
      </c>
      <c r="C8" s="21">
        <f>'1_Criterios_Pesos'!D7</f>
        <v>0.15</v>
      </c>
      <c r="D8" s="7" t="str">
        <f>'1_Criterios_Pesos'!E7</f>
        <v>No</v>
      </c>
      <c r="E8" s="19" t="s">
        <v>295</v>
      </c>
      <c r="F8" s="13" t="s">
        <v>127</v>
      </c>
      <c r="G8" s="13" t="s">
        <v>259</v>
      </c>
      <c r="H8" s="19" t="s">
        <v>296</v>
      </c>
      <c r="I8" s="9" t="str">
        <f t="shared" si="1"/>
        <v>Medias</v>
      </c>
      <c r="J8" s="22">
        <f>IF($G8="Faltante",PUNTAJE_NEUTRO,IF($I8="","",INDEX('2_Escalas_Reglas'!$E$15:$E$37,MATCH($A8&amp;"|"&amp;$I8,'2_Escalas_Reglas'!$A$15:$A$37,0))))</f>
        <v>5</v>
      </c>
      <c r="K8" s="22">
        <f>IF($G8="Faltante",PUNTAJE_NEUTRO,IF($I8="","",INDEX('2_Escalas_Reglas'!$F$15:$F$37,MATCH($A8&amp;"|"&amp;$I8,'2_Escalas_Reglas'!$A$15:$A$37,0))))</f>
        <v>4</v>
      </c>
      <c r="L8" s="22">
        <f>IF($G8="Faltante",PUNTAJE_NEUTRO,IF($I8="","",INDEX('2_Escalas_Reglas'!$G$15:$G$37,MATCH($A8&amp;"|"&amp;$I8,'2_Escalas_Reglas'!$A$15:$A$37,0))))</f>
        <v>4</v>
      </c>
      <c r="M8" s="22">
        <f>IF($G8="Faltante",PUNTAJE_NEUTRO,IF($I8="","",INDEX('2_Escalas_Reglas'!$H$15:$H$37,MATCH($A8&amp;"|"&amp;$I8,'2_Escalas_Reglas'!$A$15:$A$37,0))))</f>
        <v>4</v>
      </c>
      <c r="N8" s="23">
        <f t="shared" si="0"/>
        <v>0.75</v>
      </c>
      <c r="O8" s="23">
        <f t="shared" si="0"/>
        <v>0.6</v>
      </c>
      <c r="P8" s="23">
        <f t="shared" si="0"/>
        <v>0.6</v>
      </c>
      <c r="Q8" s="23">
        <f t="shared" si="0"/>
        <v>0.6</v>
      </c>
      <c r="R8" s="23">
        <f>IF($G8="Faltante",IFERROR($C8*INDEX(Aux_Sensibilidad!$C$5:$I$20,MATCH($C$23&amp;"|"&amp;"Nexus",Aux_Sensibilidad!$B$5:$B$20,0),3),0),0)</f>
        <v>0</v>
      </c>
      <c r="S8" s="23">
        <f>IF($G8="Faltante",IFERROR($C8*INDEX(Aux_Sensibilidad!$C$5:$I$20,MATCH($C$23&amp;"|"&amp;"LeSS",Aux_Sensibilidad!$B$5:$B$20,0),3),0),0)</f>
        <v>0</v>
      </c>
      <c r="T8" s="23">
        <f>IF($G8="Faltante",IFERROR($C8*INDEX(Aux_Sensibilidad!$C$5:$I$20,MATCH($C$23&amp;"|"&amp;"SAFe",Aux_Sensibilidad!$B$5:$B$20,0),3),0),0)</f>
        <v>0</v>
      </c>
      <c r="U8" s="23">
        <f>IF($G8="Faltante",IFERROR($C8*INDEX(Aux_Sensibilidad!$C$5:$I$20,MATCH($C$23&amp;"|"&amp;"Disciplined Agile",Aux_Sensibilidad!$B$5:$B$20,0),3),0),0)</f>
        <v>0</v>
      </c>
    </row>
    <row r="9" spans="1:21" ht="60" customHeight="1" x14ac:dyDescent="0.55000000000000004">
      <c r="A9" s="20" t="s">
        <v>56</v>
      </c>
      <c r="B9" s="9" t="str">
        <f>'1_Criterios_Pesos'!B8</f>
        <v>Gobernanza y cumplimiento</v>
      </c>
      <c r="C9" s="21">
        <f>'1_Criterios_Pesos'!D8</f>
        <v>0.1</v>
      </c>
      <c r="D9" s="7" t="str">
        <f>'1_Criterios_Pesos'!E8</f>
        <v>No</v>
      </c>
      <c r="E9" s="19" t="s">
        <v>297</v>
      </c>
      <c r="F9" s="13" t="s">
        <v>139</v>
      </c>
      <c r="G9" s="13" t="s">
        <v>259</v>
      </c>
      <c r="H9" s="19" t="s">
        <v>298</v>
      </c>
      <c r="I9" s="9" t="str">
        <f t="shared" si="1"/>
        <v>Regulatoria formal</v>
      </c>
      <c r="J9" s="22">
        <f>IF($G9="Faltante",PUNTAJE_NEUTRO,IF($I9="","",INDEX('2_Escalas_Reglas'!$E$15:$E$37,MATCH($A9&amp;"|"&amp;$I9,'2_Escalas_Reglas'!$A$15:$A$37,0))))</f>
        <v>2</v>
      </c>
      <c r="K9" s="22">
        <f>IF($G9="Faltante",PUNTAJE_NEUTRO,IF($I9="","",INDEX('2_Escalas_Reglas'!$F$15:$F$37,MATCH($A9&amp;"|"&amp;$I9,'2_Escalas_Reglas'!$A$15:$A$37,0))))</f>
        <v>1</v>
      </c>
      <c r="L9" s="22">
        <f>IF($G9="Faltante",PUNTAJE_NEUTRO,IF($I9="","",INDEX('2_Escalas_Reglas'!$G$15:$G$37,MATCH($A9&amp;"|"&amp;$I9,'2_Escalas_Reglas'!$A$15:$A$37,0))))</f>
        <v>5</v>
      </c>
      <c r="M9" s="22">
        <f>IF($G9="Faltante",PUNTAJE_NEUTRO,IF($I9="","",INDEX('2_Escalas_Reglas'!$H$15:$H$37,MATCH($A9&amp;"|"&amp;$I9,'2_Escalas_Reglas'!$A$15:$A$37,0))))</f>
        <v>4</v>
      </c>
      <c r="N9" s="23">
        <f t="shared" si="0"/>
        <v>0.2</v>
      </c>
      <c r="O9" s="23">
        <f t="shared" si="0"/>
        <v>0.1</v>
      </c>
      <c r="P9" s="23">
        <f t="shared" si="0"/>
        <v>0.5</v>
      </c>
      <c r="Q9" s="23">
        <f t="shared" si="0"/>
        <v>0.4</v>
      </c>
      <c r="R9" s="23">
        <f>IF($G9="Faltante",IFERROR($C9*INDEX(Aux_Sensibilidad!$C$5:$I$20,MATCH($C$23&amp;"|"&amp;"Nexus",Aux_Sensibilidad!$B$5:$B$20,0),4),0),0)</f>
        <v>0</v>
      </c>
      <c r="S9" s="23">
        <f>IF($G9="Faltante",IFERROR($C9*INDEX(Aux_Sensibilidad!$C$5:$I$20,MATCH($C$23&amp;"|"&amp;"LeSS",Aux_Sensibilidad!$B$5:$B$20,0),4),0),0)</f>
        <v>0</v>
      </c>
      <c r="T9" s="23">
        <f>IF($G9="Faltante",IFERROR($C9*INDEX(Aux_Sensibilidad!$C$5:$I$20,MATCH($C$23&amp;"|"&amp;"SAFe",Aux_Sensibilidad!$B$5:$B$20,0),4),0),0)</f>
        <v>0</v>
      </c>
      <c r="U9" s="23">
        <f>IF($G9="Faltante",IFERROR($C9*INDEX(Aux_Sensibilidad!$C$5:$I$20,MATCH($C$23&amp;"|"&amp;"Disciplined Agile",Aux_Sensibilidad!$B$5:$B$20,0),4),0),0)</f>
        <v>0</v>
      </c>
    </row>
    <row r="10" spans="1:21" ht="60" customHeight="1" x14ac:dyDescent="0.55000000000000004">
      <c r="A10" s="20" t="s">
        <v>61</v>
      </c>
      <c r="B10" s="9" t="str">
        <f>'1_Criterios_Pesos'!B9</f>
        <v>Alineamiento estratégico y portafolio</v>
      </c>
      <c r="C10" s="21">
        <f>'1_Criterios_Pesos'!D9</f>
        <v>0.15</v>
      </c>
      <c r="D10" s="7" t="str">
        <f>'1_Criterios_Pesos'!E9</f>
        <v>No</v>
      </c>
      <c r="E10" s="19" t="s">
        <v>299</v>
      </c>
      <c r="F10" s="13"/>
      <c r="G10" s="13" t="s">
        <v>256</v>
      </c>
      <c r="H10" s="19" t="s">
        <v>292</v>
      </c>
      <c r="I10" s="9" t="str">
        <f t="shared" si="1"/>
        <v>(faltante)</v>
      </c>
      <c r="J10" s="22">
        <f>IF($G10="Faltante",PUNTAJE_NEUTRO,IF($I10="","",INDEX('2_Escalas_Reglas'!$E$15:$E$37,MATCH($A10&amp;"|"&amp;$I10,'2_Escalas_Reglas'!$A$15:$A$37,0))))</f>
        <v>2.5</v>
      </c>
      <c r="K10" s="22">
        <f>IF($G10="Faltante",PUNTAJE_NEUTRO,IF($I10="","",INDEX('2_Escalas_Reglas'!$F$15:$F$37,MATCH($A10&amp;"|"&amp;$I10,'2_Escalas_Reglas'!$A$15:$A$37,0))))</f>
        <v>2.5</v>
      </c>
      <c r="L10" s="22">
        <f>IF($G10="Faltante",PUNTAJE_NEUTRO,IF($I10="","",INDEX('2_Escalas_Reglas'!$G$15:$G$37,MATCH($A10&amp;"|"&amp;$I10,'2_Escalas_Reglas'!$A$15:$A$37,0))))</f>
        <v>2.5</v>
      </c>
      <c r="M10" s="22">
        <f>IF($G10="Faltante",PUNTAJE_NEUTRO,IF($I10="","",INDEX('2_Escalas_Reglas'!$H$15:$H$37,MATCH($A10&amp;"|"&amp;$I10,'2_Escalas_Reglas'!$A$15:$A$37,0))))</f>
        <v>2.5</v>
      </c>
      <c r="N10" s="23">
        <f t="shared" si="0"/>
        <v>0.375</v>
      </c>
      <c r="O10" s="23">
        <f t="shared" si="0"/>
        <v>0.375</v>
      </c>
      <c r="P10" s="23">
        <f t="shared" si="0"/>
        <v>0.375</v>
      </c>
      <c r="Q10" s="23">
        <f t="shared" si="0"/>
        <v>0.375</v>
      </c>
      <c r="R10" s="23">
        <f>IF($G10="Faltante",IFERROR($C10*INDEX(Aux_Sensibilidad!$C$5:$I$20,MATCH($C$23&amp;"|"&amp;"Nexus",Aux_Sensibilidad!$B$5:$B$20,0),5),0),0)</f>
        <v>0</v>
      </c>
      <c r="S10" s="23">
        <f>IF($G10="Faltante",IFERROR($C10*INDEX(Aux_Sensibilidad!$C$5:$I$20,MATCH($C$23&amp;"|"&amp;"LeSS",Aux_Sensibilidad!$B$5:$B$20,0),5),0),0)</f>
        <v>0</v>
      </c>
      <c r="T10" s="23">
        <f>IF($G10="Faltante",IFERROR($C10*INDEX(Aux_Sensibilidad!$C$5:$I$20,MATCH($C$23&amp;"|"&amp;"SAFe",Aux_Sensibilidad!$B$5:$B$20,0),5),0),0)</f>
        <v>-0.6</v>
      </c>
      <c r="U10" s="23">
        <f>IF($G10="Faltante",IFERROR($C10*INDEX(Aux_Sensibilidad!$C$5:$I$20,MATCH($C$23&amp;"|"&amp;"Disciplined Agile",Aux_Sensibilidad!$B$5:$B$20,0),5),0),0)</f>
        <v>-0.3</v>
      </c>
    </row>
    <row r="11" spans="1:21" ht="60" customHeight="1" x14ac:dyDescent="0.55000000000000004">
      <c r="A11" s="20" t="s">
        <v>66</v>
      </c>
      <c r="B11" s="9" t="str">
        <f>'1_Criterios_Pesos'!B10</f>
        <v>Autonomía y adaptación del proceso</v>
      </c>
      <c r="C11" s="21">
        <f>'1_Criterios_Pesos'!D10</f>
        <v>0.1</v>
      </c>
      <c r="D11" s="7" t="str">
        <f>'1_Criterios_Pesos'!E10</f>
        <v>No</v>
      </c>
      <c r="E11" s="19" t="s">
        <v>287</v>
      </c>
      <c r="F11" s="13"/>
      <c r="G11" s="13" t="s">
        <v>256</v>
      </c>
      <c r="H11" s="19" t="s">
        <v>300</v>
      </c>
      <c r="I11" s="9" t="str">
        <f t="shared" si="1"/>
        <v>(faltante)</v>
      </c>
      <c r="J11" s="22">
        <f>IF($G11="Faltante",PUNTAJE_NEUTRO,IF($I11="","",INDEX('2_Escalas_Reglas'!$E$15:$E$37,MATCH($A11&amp;"|"&amp;$I11,'2_Escalas_Reglas'!$A$15:$A$37,0))))</f>
        <v>2.5</v>
      </c>
      <c r="K11" s="22">
        <f>IF($G11="Faltante",PUNTAJE_NEUTRO,IF($I11="","",INDEX('2_Escalas_Reglas'!$F$15:$F$37,MATCH($A11&amp;"|"&amp;$I11,'2_Escalas_Reglas'!$A$15:$A$37,0))))</f>
        <v>2.5</v>
      </c>
      <c r="L11" s="22">
        <f>IF($G11="Faltante",PUNTAJE_NEUTRO,IF($I11="","",INDEX('2_Escalas_Reglas'!$G$15:$G$37,MATCH($A11&amp;"|"&amp;$I11,'2_Escalas_Reglas'!$A$15:$A$37,0))))</f>
        <v>2.5</v>
      </c>
      <c r="M11" s="22">
        <f>IF($G11="Faltante",PUNTAJE_NEUTRO,IF($I11="","",INDEX('2_Escalas_Reglas'!$H$15:$H$37,MATCH($A11&amp;"|"&amp;$I11,'2_Escalas_Reglas'!$A$15:$A$37,0))))</f>
        <v>2.5</v>
      </c>
      <c r="N11" s="23">
        <f t="shared" si="0"/>
        <v>0.25</v>
      </c>
      <c r="O11" s="23">
        <f t="shared" si="0"/>
        <v>0.25</v>
      </c>
      <c r="P11" s="23">
        <f t="shared" si="0"/>
        <v>0.25</v>
      </c>
      <c r="Q11" s="23">
        <f t="shared" si="0"/>
        <v>0.25</v>
      </c>
      <c r="R11" s="23">
        <f>IF($G11="Faltante",IFERROR($C11*INDEX(Aux_Sensibilidad!$C$5:$I$20,MATCH($C$23&amp;"|"&amp;"Nexus",Aux_Sensibilidad!$B$5:$B$20,0),6),0),0)</f>
        <v>0</v>
      </c>
      <c r="S11" s="23">
        <f>IF($G11="Faltante",IFERROR($C11*INDEX(Aux_Sensibilidad!$C$5:$I$20,MATCH($C$23&amp;"|"&amp;"LeSS",Aux_Sensibilidad!$B$5:$B$20,0),6),0),0)</f>
        <v>-0.1</v>
      </c>
      <c r="T11" s="23">
        <f>IF($G11="Faltante",IFERROR($C11*INDEX(Aux_Sensibilidad!$C$5:$I$20,MATCH($C$23&amp;"|"&amp;"SAFe",Aux_Sensibilidad!$B$5:$B$20,0),6),0),0)</f>
        <v>-0.1</v>
      </c>
      <c r="U11" s="23">
        <f>IF($G11="Faltante",IFERROR($C11*INDEX(Aux_Sensibilidad!$C$5:$I$20,MATCH($C$23&amp;"|"&amp;"Disciplined Agile",Aux_Sensibilidad!$B$5:$B$20,0),6),0),0)</f>
        <v>-0.4</v>
      </c>
    </row>
    <row r="12" spans="1:21" ht="60" customHeight="1" x14ac:dyDescent="0.55000000000000004">
      <c r="A12" s="20" t="s">
        <v>71</v>
      </c>
      <c r="B12" s="9" t="str">
        <f>'1_Criterios_Pesos'!B11</f>
        <v>Heterogeneidad del trabajo y ciclos de vida</v>
      </c>
      <c r="C12" s="21">
        <f>'1_Criterios_Pesos'!D11</f>
        <v>0.15</v>
      </c>
      <c r="D12" s="7" t="str">
        <f>'1_Criterios_Pesos'!E11</f>
        <v>Sí</v>
      </c>
      <c r="E12" s="19" t="s">
        <v>301</v>
      </c>
      <c r="F12" s="13" t="s">
        <v>86</v>
      </c>
      <c r="G12" s="13" t="s">
        <v>259</v>
      </c>
      <c r="H12" s="19" t="s">
        <v>302</v>
      </c>
      <c r="I12" s="9" t="str">
        <f t="shared" si="1"/>
        <v>Baja</v>
      </c>
      <c r="J12" s="22">
        <f>IF($G12="Faltante",PUNTAJE_NEUTRO,IF($I12="","",INDEX('2_Escalas_Reglas'!$E$15:$E$37,MATCH($A12&amp;"|"&amp;$I12,'2_Escalas_Reglas'!$A$15:$A$37,0))))</f>
        <v>5</v>
      </c>
      <c r="K12" s="22">
        <f>IF($G12="Faltante",PUNTAJE_NEUTRO,IF($I12="","",INDEX('2_Escalas_Reglas'!$F$15:$F$37,MATCH($A12&amp;"|"&amp;$I12,'2_Escalas_Reglas'!$A$15:$A$37,0))))</f>
        <v>5</v>
      </c>
      <c r="L12" s="22">
        <f>IF($G12="Faltante",PUNTAJE_NEUTRO,IF($I12="","",INDEX('2_Escalas_Reglas'!$G$15:$G$37,MATCH($A12&amp;"|"&amp;$I12,'2_Escalas_Reglas'!$A$15:$A$37,0))))</f>
        <v>4</v>
      </c>
      <c r="M12" s="22">
        <f>IF($G12="Faltante",PUNTAJE_NEUTRO,IF($I12="","",INDEX('2_Escalas_Reglas'!$H$15:$H$37,MATCH($A12&amp;"|"&amp;$I12,'2_Escalas_Reglas'!$A$15:$A$37,0))))</f>
        <v>3</v>
      </c>
      <c r="N12" s="23">
        <f t="shared" si="0"/>
        <v>0.75</v>
      </c>
      <c r="O12" s="23">
        <f t="shared" si="0"/>
        <v>0.75</v>
      </c>
      <c r="P12" s="23">
        <f t="shared" si="0"/>
        <v>0.6</v>
      </c>
      <c r="Q12" s="23">
        <f t="shared" si="0"/>
        <v>0.44999999999999996</v>
      </c>
      <c r="R12" s="23">
        <f>IF($G12="Faltante",IFERROR($C12*INDEX(Aux_Sensibilidad!$C$5:$I$20,MATCH($C$23&amp;"|"&amp;"Nexus",Aux_Sensibilidad!$B$5:$B$20,0),7),0),0)</f>
        <v>0</v>
      </c>
      <c r="S12" s="23">
        <f>IF($G12="Faltante",IFERROR($C12*INDEX(Aux_Sensibilidad!$C$5:$I$20,MATCH($C$23&amp;"|"&amp;"LeSS",Aux_Sensibilidad!$B$5:$B$20,0),7),0),0)</f>
        <v>0</v>
      </c>
      <c r="T12" s="23">
        <f>IF($G12="Faltante",IFERROR($C12*INDEX(Aux_Sensibilidad!$C$5:$I$20,MATCH($C$23&amp;"|"&amp;"SAFe",Aux_Sensibilidad!$B$5:$B$20,0),7),0),0)</f>
        <v>0</v>
      </c>
      <c r="U12" s="23">
        <f>IF($G12="Faltante",IFERROR($C12*INDEX(Aux_Sensibilidad!$C$5:$I$20,MATCH($C$23&amp;"|"&amp;"Disciplined Agile",Aux_Sensibilidad!$B$5:$B$20,0),7),0),0)</f>
        <v>0</v>
      </c>
    </row>
    <row r="13" spans="1:21" x14ac:dyDescent="0.55000000000000004">
      <c r="I13" s="2" t="s">
        <v>220</v>
      </c>
      <c r="N13" s="24">
        <f t="shared" ref="N13:U13" si="2">SUM(N6:N12)</f>
        <v>3.7</v>
      </c>
      <c r="O13" s="24">
        <f t="shared" si="2"/>
        <v>3.45</v>
      </c>
      <c r="P13" s="24">
        <f t="shared" si="2"/>
        <v>3.3000000000000003</v>
      </c>
      <c r="Q13" s="24">
        <f t="shared" si="2"/>
        <v>3.05</v>
      </c>
      <c r="R13" s="25">
        <f t="shared" si="2"/>
        <v>0</v>
      </c>
      <c r="S13" s="25">
        <f t="shared" si="2"/>
        <v>-0.4</v>
      </c>
      <c r="T13" s="25">
        <f t="shared" si="2"/>
        <v>-1.4500000000000002</v>
      </c>
      <c r="U13" s="25">
        <f t="shared" si="2"/>
        <v>-1.1499999999999999</v>
      </c>
    </row>
    <row r="15" spans="1:21" x14ac:dyDescent="0.55000000000000004">
      <c r="A15" s="16" t="s">
        <v>221</v>
      </c>
    </row>
    <row r="16" spans="1:21" ht="45" customHeight="1" x14ac:dyDescent="0.55000000000000004">
      <c r="A16" s="4" t="s">
        <v>222</v>
      </c>
      <c r="B16" s="4" t="s">
        <v>223</v>
      </c>
      <c r="C16" s="4" t="s">
        <v>224</v>
      </c>
      <c r="D16" s="4" t="s">
        <v>225</v>
      </c>
      <c r="E16" s="4" t="s">
        <v>226</v>
      </c>
      <c r="F16" s="4" t="s">
        <v>227</v>
      </c>
      <c r="G16" s="4" t="s">
        <v>228</v>
      </c>
      <c r="H16" s="4" t="s">
        <v>229</v>
      </c>
      <c r="I16" s="4" t="s">
        <v>230</v>
      </c>
      <c r="J16" s="4" t="s">
        <v>231</v>
      </c>
      <c r="K16" s="4" t="s">
        <v>232</v>
      </c>
      <c r="L16" s="4" t="s">
        <v>233</v>
      </c>
      <c r="M16" s="4" t="s">
        <v>234</v>
      </c>
      <c r="N16" s="4" t="s">
        <v>235</v>
      </c>
      <c r="O16" s="4" t="s">
        <v>236</v>
      </c>
      <c r="P16" s="4" t="s">
        <v>237</v>
      </c>
    </row>
    <row r="17" spans="1:16" x14ac:dyDescent="0.55000000000000004">
      <c r="A17" s="20" t="s">
        <v>16</v>
      </c>
      <c r="B17" s="26">
        <f>N13</f>
        <v>3.7</v>
      </c>
      <c r="C17" s="7" t="str">
        <f>IF(SUMPRODUCT(($D$6:$D$12="Sí")*(J$6:J$12=0)*($G$6:$G$12&lt;&gt;"Faltante"))&gt;0,"Sí","No")</f>
        <v>No</v>
      </c>
      <c r="D17" s="13" t="s">
        <v>53</v>
      </c>
      <c r="E17" s="19"/>
      <c r="F17" s="7" t="str">
        <f>IF(OR(C17="Sí",D17="Sí"),"Excluido","Elegible")</f>
        <v>Elegible</v>
      </c>
      <c r="G17" s="6">
        <f>IF(F17="Excluido",-1,B17)</f>
        <v>3.7</v>
      </c>
      <c r="H17" s="7">
        <f>IF(F17="Excluido","—",RANK(G17,$G$17:$G$20))</f>
        <v>1</v>
      </c>
      <c r="I17" s="7">
        <f>COUNTIF(J$6:J$12,"&lt;=1")</f>
        <v>0</v>
      </c>
      <c r="J17" s="6">
        <f>SUMIF($D$6:$D$12,"Sí",N$6:N$12)</f>
        <v>2.125</v>
      </c>
      <c r="K17" s="7">
        <v>4</v>
      </c>
      <c r="L17" s="7" t="b">
        <f>AND(F17="Elegible",ROUND(B17,4)&gt;=ROUND($C$22-UMBRAL_EMPATE,4))</f>
        <v>1</v>
      </c>
      <c r="M17" s="27">
        <f>IF(L17,10000-I17*1000+J17*100+K17,-1)</f>
        <v>10216.5</v>
      </c>
      <c r="N17" s="6" t="str">
        <f>IF(OR(F17="Excluido",A17=$C$23),"—",INDEX($B$17:$B$20,MATCH($C$23,$A$17:$A$20,0))-B17)</f>
        <v>—</v>
      </c>
      <c r="O17" s="6">
        <f>R13</f>
        <v>0</v>
      </c>
      <c r="P17" s="6" t="str">
        <f>IF(OR(F17="Excluido",A17=$C$23),"—",N17+O17)</f>
        <v>—</v>
      </c>
    </row>
    <row r="18" spans="1:16" x14ac:dyDescent="0.55000000000000004">
      <c r="A18" s="20" t="s">
        <v>17</v>
      </c>
      <c r="B18" s="26">
        <f>O13</f>
        <v>3.45</v>
      </c>
      <c r="C18" s="7" t="str">
        <f>IF(SUMPRODUCT(($D$6:$D$12="Sí")*(K$6:K$12=0)*($G$6:$G$12&lt;&gt;"Faltante"))&gt;0,"Sí","No")</f>
        <v>No</v>
      </c>
      <c r="D18" s="13" t="s">
        <v>53</v>
      </c>
      <c r="E18" s="19"/>
      <c r="F18" s="7" t="str">
        <f>IF(OR(C18="Sí",D18="Sí"),"Excluido","Elegible")</f>
        <v>Elegible</v>
      </c>
      <c r="G18" s="6">
        <f>IF(F18="Excluido",-1,B18)</f>
        <v>3.45</v>
      </c>
      <c r="H18" s="7">
        <f>IF(F18="Excluido","—",RANK(G18,$G$17:$G$20))</f>
        <v>2</v>
      </c>
      <c r="I18" s="7">
        <f>COUNTIF(K$6:K$12,"&lt;=1")</f>
        <v>1</v>
      </c>
      <c r="J18" s="6">
        <f>SUMIF($D$6:$D$12,"Sí",O$6:O$12)</f>
        <v>2.125</v>
      </c>
      <c r="K18" s="7">
        <v>3</v>
      </c>
      <c r="L18" s="7" t="b">
        <f>AND(F18="Elegible",ROUND(B18,4)&gt;=ROUND($C$22-UMBRAL_EMPATE,4))</f>
        <v>0</v>
      </c>
      <c r="M18" s="27">
        <f>IF(L18,10000-I18*1000+J18*100+K18,-1)</f>
        <v>-1</v>
      </c>
      <c r="N18" s="6">
        <f>IF(OR(F18="Excluido",A18=$C$23),"—",INDEX($B$17:$B$20,MATCH($C$23,$A$17:$A$20,0))-B18)</f>
        <v>0.25</v>
      </c>
      <c r="O18" s="6">
        <f>S13</f>
        <v>-0.4</v>
      </c>
      <c r="P18" s="6">
        <f>IF(OR(F18="Excluido",A18=$C$23),"—",N18+O18)</f>
        <v>-0.15000000000000002</v>
      </c>
    </row>
    <row r="19" spans="1:16" x14ac:dyDescent="0.55000000000000004">
      <c r="A19" s="20" t="s">
        <v>18</v>
      </c>
      <c r="B19" s="26">
        <f>P13</f>
        <v>3.3000000000000003</v>
      </c>
      <c r="C19" s="7" t="str">
        <f>IF(SUMPRODUCT(($D$6:$D$12="Sí")*(L$6:L$12=0)*($G$6:$G$12&lt;&gt;"Faltante"))&gt;0,"Sí","No")</f>
        <v>No</v>
      </c>
      <c r="D19" s="13" t="s">
        <v>53</v>
      </c>
      <c r="E19" s="19"/>
      <c r="F19" s="7" t="str">
        <f>IF(OR(C19="Sí",D19="Sí"),"Excluido","Elegible")</f>
        <v>Elegible</v>
      </c>
      <c r="G19" s="6">
        <f>IF(F19="Excluido",-1,B19)</f>
        <v>3.3000000000000003</v>
      </c>
      <c r="H19" s="7">
        <f>IF(F19="Excluido","—",RANK(G19,$G$17:$G$20))</f>
        <v>3</v>
      </c>
      <c r="I19" s="7">
        <f>COUNTIF(L$6:L$12,"&lt;=1")</f>
        <v>0</v>
      </c>
      <c r="J19" s="6">
        <f>SUMIF($D$6:$D$12,"Sí",P$6:P$12)</f>
        <v>1.5750000000000002</v>
      </c>
      <c r="K19" s="7">
        <v>1</v>
      </c>
      <c r="L19" s="7" t="b">
        <f>AND(F19="Elegible",ROUND(B19,4)&gt;=ROUND($C$22-UMBRAL_EMPATE,4))</f>
        <v>0</v>
      </c>
      <c r="M19" s="27">
        <f>IF(L19,10000-I19*1000+J19*100+K19,-1)</f>
        <v>-1</v>
      </c>
      <c r="N19" s="6">
        <f>IF(OR(F19="Excluido",A19=$C$23),"—",INDEX($B$17:$B$20,MATCH($C$23,$A$17:$A$20,0))-B19)</f>
        <v>0.39999999999999991</v>
      </c>
      <c r="O19" s="6">
        <f>T13</f>
        <v>-1.4500000000000002</v>
      </c>
      <c r="P19" s="6">
        <f>IF(OR(F19="Excluido",A19=$C$23),"—",N19+O19)</f>
        <v>-1.0500000000000003</v>
      </c>
    </row>
    <row r="20" spans="1:16" ht="28.8" x14ac:dyDescent="0.55000000000000004">
      <c r="A20" s="20" t="s">
        <v>202</v>
      </c>
      <c r="B20" s="26">
        <f>Q13</f>
        <v>3.05</v>
      </c>
      <c r="C20" s="7" t="str">
        <f>IF(SUMPRODUCT(($D$6:$D$12="Sí")*(M$6:M$12=0)*($G$6:$G$12&lt;&gt;"Faltante"))&gt;0,"Sí","No")</f>
        <v>No</v>
      </c>
      <c r="D20" s="13" t="s">
        <v>53</v>
      </c>
      <c r="E20" s="19"/>
      <c r="F20" s="7" t="str">
        <f>IF(OR(C20="Sí",D20="Sí"),"Excluido","Elegible")</f>
        <v>Elegible</v>
      </c>
      <c r="G20" s="6">
        <f>IF(F20="Excluido",-1,B20)</f>
        <v>3.05</v>
      </c>
      <c r="H20" s="7">
        <f>IF(F20="Excluido","—",RANK(G20,$G$17:$G$20))</f>
        <v>4</v>
      </c>
      <c r="I20" s="7">
        <f>COUNTIF(M$6:M$12,"&lt;=1")</f>
        <v>0</v>
      </c>
      <c r="J20" s="6">
        <f>SUMIF($D$6:$D$12,"Sí",Q$6:Q$12)</f>
        <v>1.425</v>
      </c>
      <c r="K20" s="7">
        <v>2</v>
      </c>
      <c r="L20" s="7" t="b">
        <f>AND(F20="Elegible",ROUND(B20,4)&gt;=ROUND($C$22-UMBRAL_EMPATE,4))</f>
        <v>0</v>
      </c>
      <c r="M20" s="27">
        <f>IF(L20,10000-I20*1000+J20*100+K20,-1)</f>
        <v>-1</v>
      </c>
      <c r="N20" s="6">
        <f>IF(OR(F20="Excluido",A20=$C$23),"—",INDEX($B$17:$B$20,MATCH($C$23,$A$17:$A$20,0))-B20)</f>
        <v>0.65000000000000036</v>
      </c>
      <c r="O20" s="6">
        <f>U13</f>
        <v>-1.1499999999999999</v>
      </c>
      <c r="P20" s="6">
        <f>IF(OR(F20="Excluido",A20=$C$23),"—",N20+O20)</f>
        <v>-0.49999999999999956</v>
      </c>
    </row>
    <row r="22" spans="1:16" ht="18" customHeight="1" x14ac:dyDescent="0.55000000000000004">
      <c r="A22" s="35" t="s">
        <v>238</v>
      </c>
      <c r="B22" s="29"/>
      <c r="C22" s="33">
        <f>MAX(G17:G20)</f>
        <v>3.7</v>
      </c>
      <c r="D22" s="29"/>
      <c r="E22" s="29"/>
      <c r="F22" s="29"/>
      <c r="G22" s="29"/>
      <c r="H22" s="29"/>
    </row>
    <row r="23" spans="1:16" ht="18" customHeight="1" x14ac:dyDescent="0.55000000000000004">
      <c r="A23" s="35" t="s">
        <v>239</v>
      </c>
      <c r="B23" s="29"/>
      <c r="C23" s="37" t="str">
        <f>IF(MAX(M17:M20)&lt;0,"Ninguno compatible",INDEX(A17:A20,MATCH(MAX(M17:M20),M17:M20,0)))</f>
        <v>Nexus</v>
      </c>
      <c r="D23" s="29"/>
      <c r="E23" s="29"/>
      <c r="F23" s="29"/>
      <c r="G23" s="29"/>
      <c r="H23" s="29"/>
    </row>
    <row r="24" spans="1:16" ht="18" customHeight="1" x14ac:dyDescent="0.55000000000000004">
      <c r="A24" s="35" t="s">
        <v>240</v>
      </c>
      <c r="B24" s="29"/>
      <c r="C24" s="33">
        <f>IFERROR(INDEX(B17:B20,MATCH(C23,A17:A20,0)),"—")</f>
        <v>3.7</v>
      </c>
      <c r="D24" s="29"/>
      <c r="E24" s="29"/>
      <c r="F24" s="29"/>
      <c r="G24" s="29"/>
      <c r="H24" s="29"/>
    </row>
    <row r="25" spans="1:16" ht="18" customHeight="1" x14ac:dyDescent="0.55000000000000004">
      <c r="A25" s="35" t="s">
        <v>241</v>
      </c>
      <c r="B25" s="29"/>
      <c r="C25" s="36" t="str">
        <f>IFERROR(INDEX(A17:A20,MATCH(LARGE(G17:G20,2),G17:G20,0)),"—")</f>
        <v>LeSS</v>
      </c>
      <c r="D25" s="29"/>
      <c r="E25" s="29"/>
      <c r="F25" s="29"/>
      <c r="G25" s="29"/>
      <c r="H25" s="29"/>
    </row>
    <row r="26" spans="1:16" ht="18" customHeight="1" x14ac:dyDescent="0.55000000000000004">
      <c r="A26" s="35" t="s">
        <v>242</v>
      </c>
      <c r="B26" s="29"/>
      <c r="C26" s="33">
        <f>IF(LARGE(G17:G20,2)&lt;0,"—",LARGE(G17:G20,1)-LARGE(G17:G20,2))</f>
        <v>0.25</v>
      </c>
      <c r="D26" s="29"/>
      <c r="E26" s="29"/>
      <c r="F26" s="29"/>
      <c r="G26" s="29"/>
      <c r="H26" s="29"/>
    </row>
    <row r="27" spans="1:16" ht="18" customHeight="1" x14ac:dyDescent="0.55000000000000004">
      <c r="A27" s="35" t="s">
        <v>22</v>
      </c>
      <c r="B27" s="29"/>
      <c r="C27" s="36" t="str">
        <f>IF(COUNTIF(L17:L20,TRUE)&gt;1,"Sí: se aplicó la regla R6 de desempate","No")</f>
        <v>No</v>
      </c>
      <c r="D27" s="29"/>
      <c r="E27" s="29"/>
      <c r="F27" s="29"/>
      <c r="G27" s="29"/>
      <c r="H27" s="29"/>
    </row>
    <row r="28" spans="1:16" ht="18" customHeight="1" x14ac:dyDescent="0.55000000000000004">
      <c r="A28" s="35" t="s">
        <v>243</v>
      </c>
      <c r="B28" s="29"/>
      <c r="C28" s="39">
        <f>SUMIF(G6:G12,"Explícito",C6:C12)</f>
        <v>0</v>
      </c>
      <c r="D28" s="29"/>
      <c r="E28" s="29"/>
      <c r="F28" s="29"/>
      <c r="G28" s="29"/>
      <c r="H28" s="29"/>
    </row>
    <row r="29" spans="1:16" ht="18" customHeight="1" x14ac:dyDescent="0.55000000000000004">
      <c r="A29" s="35" t="s">
        <v>244</v>
      </c>
      <c r="B29" s="29"/>
      <c r="C29" s="39">
        <f>SUMIF(G6:G12,"Inferido",C6:C12)</f>
        <v>0.6</v>
      </c>
      <c r="D29" s="29"/>
      <c r="E29" s="29"/>
      <c r="F29" s="29"/>
      <c r="G29" s="29"/>
      <c r="H29" s="29"/>
    </row>
    <row r="30" spans="1:16" ht="18" customHeight="1" x14ac:dyDescent="0.55000000000000004">
      <c r="A30" s="35" t="s">
        <v>245</v>
      </c>
      <c r="B30" s="29"/>
      <c r="C30" s="39">
        <f>SUMIF(G6:G12,"Faltante",C6:C12)</f>
        <v>0.4</v>
      </c>
      <c r="D30" s="29"/>
      <c r="E30" s="29"/>
      <c r="F30" s="29"/>
      <c r="G30" s="29"/>
      <c r="H30" s="29"/>
    </row>
    <row r="31" spans="1:16" ht="30" customHeight="1" x14ac:dyDescent="0.55000000000000004">
      <c r="A31" s="35" t="s">
        <v>246</v>
      </c>
      <c r="B31" s="29"/>
      <c r="C31" s="34" t="str">
        <f>IF(C30=0,"Robusta: no hay datos faltantes",IF(COUNTIF(P17:P20,"&lt;=0")&gt;0,"SENSIBLE: los datos faltantes pueden cambiar la recomendación; solicitar aclaración","Robusta: ningún valor posible de los datos faltantes cambia la recomendación"))</f>
        <v>SENSIBLE: los datos faltantes pueden cambiar la recomendación; solicitar aclaración</v>
      </c>
      <c r="D31" s="29"/>
      <c r="E31" s="29"/>
      <c r="F31" s="29"/>
      <c r="G31" s="29"/>
      <c r="H31" s="29"/>
    </row>
    <row r="32" spans="1:16" ht="30" customHeight="1" x14ac:dyDescent="0.55000000000000004">
      <c r="A32" s="35" t="s">
        <v>247</v>
      </c>
      <c r="B32" s="29"/>
      <c r="C32" s="38" t="s">
        <v>303</v>
      </c>
      <c r="D32" s="29"/>
      <c r="E32" s="29"/>
      <c r="F32" s="29"/>
      <c r="G32" s="29"/>
      <c r="H32" s="29"/>
    </row>
  </sheetData>
  <mergeCells count="23">
    <mergeCell ref="C32:H32"/>
    <mergeCell ref="C28:H28"/>
    <mergeCell ref="A32:B32"/>
    <mergeCell ref="A23:B23"/>
    <mergeCell ref="B2:Q2"/>
    <mergeCell ref="C30:H30"/>
    <mergeCell ref="A22:B22"/>
    <mergeCell ref="C24:H24"/>
    <mergeCell ref="A29:B29"/>
    <mergeCell ref="A28:B28"/>
    <mergeCell ref="C26:H26"/>
    <mergeCell ref="A31:B31"/>
    <mergeCell ref="C29:H29"/>
    <mergeCell ref="C25:H25"/>
    <mergeCell ref="A24:B24"/>
    <mergeCell ref="A30:B30"/>
    <mergeCell ref="C22:H22"/>
    <mergeCell ref="C31:H31"/>
    <mergeCell ref="A25:B25"/>
    <mergeCell ref="C27:H27"/>
    <mergeCell ref="C23:H23"/>
    <mergeCell ref="A27:B27"/>
    <mergeCell ref="A26:B26"/>
  </mergeCells>
  <conditionalFormatting sqref="F17:F20">
    <cfRule type="cellIs" dxfId="1" priority="1" operator="equal">
      <formula>"Excluido"</formula>
    </cfRule>
  </conditionalFormatting>
  <conditionalFormatting sqref="P17:P20">
    <cfRule type="expression" dxfId="0" priority="2">
      <formula>AND(ISNUMBER(P17),P17&lt;=0)</formula>
    </cfRule>
  </conditionalFormatting>
  <dataValidations count="8">
    <dataValidation type="list" allowBlank="1" sqref="G6 G7 G8 G9 G10 G11 G12" xr:uid="{00000000-0002-0000-0B00-000000000000}">
      <formula1>"Explícito,Inferido,Faltante"</formula1>
    </dataValidation>
    <dataValidation type="whole" operator="greaterThanOrEqual" allowBlank="1" sqref="F6" xr:uid="{00000000-0002-0000-0B00-000001000000}">
      <formula1>1</formula1>
    </dataValidation>
    <dataValidation type="list" allowBlank="1" sqref="F7" xr:uid="{00000000-0002-0000-0B00-000002000000}">
      <formula1>"Un solo producto,Varias soluciones interdependientes,Productos o proyectos independientes"</formula1>
    </dataValidation>
    <dataValidation type="list" allowBlank="1" sqref="F8" xr:uid="{00000000-0002-0000-0B00-000003000000}">
      <formula1>"Bajas,Medias,Altas"</formula1>
    </dataValidation>
    <dataValidation type="list" allowBlank="1" sqref="F9" xr:uid="{00000000-0002-0000-0B00-000004000000}">
      <formula1>"Ligera,Variable por contrato o cliente,Regulatoria formal"</formula1>
    </dataValidation>
    <dataValidation type="list" allowBlank="1" sqref="F10" xr:uid="{00000000-0002-0000-0B00-000005000000}">
      <formula1>"Bajo,Medio,Alto"</formula1>
    </dataValidation>
    <dataValidation type="list" allowBlank="1" sqref="F11:F12" xr:uid="{00000000-0002-0000-0B00-000006000000}">
      <formula1>"Baja,Media,Alta"</formula1>
    </dataValidation>
    <dataValidation type="list" sqref="D17 D18 D19 D20" xr:uid="{00000000-0002-0000-0B00-000008000000}">
      <formula1>"Sí,No"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Instrucciones</vt:lpstr>
      <vt:lpstr>Resumen</vt:lpstr>
      <vt:lpstr>1_Criterios_Pesos</vt:lpstr>
      <vt:lpstr>2_Escalas_Reglas</vt:lpstr>
      <vt:lpstr>3_Reglas_Decision</vt:lpstr>
      <vt:lpstr>Aux_Sensibilidad</vt:lpstr>
      <vt:lpstr>Plantilla</vt:lpstr>
      <vt:lpstr>Caso1_Banco</vt:lpstr>
      <vt:lpstr>Caso2_Aseguradora</vt:lpstr>
      <vt:lpstr>Caso3_Servicios</vt:lpstr>
      <vt:lpstr>Caso4A_Cambio</vt:lpstr>
      <vt:lpstr>Caso4B_Faltante</vt:lpstr>
      <vt:lpstr>PUNTAJE_NEUTRO</vt:lpstr>
      <vt:lpstr>UMBRAL_EMPATE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Ney Fred Jimenez Campos</cp:lastModifiedBy>
  <dcterms:created xsi:type="dcterms:W3CDTF">2026-10-29T00:15:25Z</dcterms:created>
  <dcterms:modified xsi:type="dcterms:W3CDTF">2026-10-29T00:33:17Z</dcterms:modified>
</cp:coreProperties>
</file>