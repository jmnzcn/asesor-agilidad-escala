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CR Maestria\2026\Semestre 2\Metodologias Agiles Para Desarrollo de Software\Tarea Matriz de decisión Metodología Valor 5pst\"/>
    </mc:Choice>
  </mc:AlternateContent>
  <xr:revisionPtr revIDLastSave="0" documentId="13_ncr:1_{04CBBE14-979D-4ED4-819E-BA455B2CE44A}" xr6:coauthVersionLast="47" xr6:coauthVersionMax="47" xr10:uidLastSave="{00000000-0000-0000-0000-000000000000}"/>
  <bookViews>
    <workbookView xWindow="-96" yWindow="-96" windowWidth="23232" windowHeight="12432" xr2:uid="{00000000-000D-0000-FFFF-FFFF00000000}"/>
  </bookViews>
  <sheets>
    <sheet name="Instrucciones" sheetId="1" r:id="rId1"/>
    <sheet name="1_Criterios_Pesos" sheetId="2" r:id="rId2"/>
    <sheet name="2_Escalas_Reglas" sheetId="3" r:id="rId3"/>
    <sheet name="3_Reglas_Decision" sheetId="4" r:id="rId4"/>
    <sheet name="Aux_Sensibilidad" sheetId="5" r:id="rId5"/>
    <sheet name="Plantilla" sheetId="6" r:id="rId6"/>
  </sheets>
  <definedNames>
    <definedName name="PUNTAJE_NEUTRO">'3_Reglas_Decision'!$B$5</definedName>
    <definedName name="UMBRAL_EMPATE">'3_Reglas_Decision'!$B$4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6" l="1"/>
  <c r="C30" i="6"/>
  <c r="C29" i="6"/>
  <c r="C28" i="6"/>
  <c r="C23" i="6"/>
  <c r="C24" i="6" s="1"/>
  <c r="U12" i="6"/>
  <c r="T12" i="6"/>
  <c r="S12" i="6"/>
  <c r="R12" i="6"/>
  <c r="I12" i="6"/>
  <c r="D12" i="6"/>
  <c r="C12" i="6"/>
  <c r="B12" i="6"/>
  <c r="U11" i="6"/>
  <c r="T11" i="6"/>
  <c r="S11" i="6"/>
  <c r="R11" i="6"/>
  <c r="I11" i="6"/>
  <c r="D11" i="6"/>
  <c r="C11" i="6"/>
  <c r="B11" i="6"/>
  <c r="U10" i="6"/>
  <c r="T10" i="6"/>
  <c r="S10" i="6"/>
  <c r="R10" i="6"/>
  <c r="I10" i="6"/>
  <c r="D10" i="6"/>
  <c r="C10" i="6"/>
  <c r="B10" i="6"/>
  <c r="U9" i="6"/>
  <c r="T9" i="6"/>
  <c r="S9" i="6"/>
  <c r="R9" i="6"/>
  <c r="I9" i="6"/>
  <c r="D9" i="6"/>
  <c r="C9" i="6"/>
  <c r="B9" i="6"/>
  <c r="U8" i="6"/>
  <c r="T8" i="6"/>
  <c r="S8" i="6"/>
  <c r="R8" i="6"/>
  <c r="I8" i="6"/>
  <c r="D8" i="6"/>
  <c r="C8" i="6"/>
  <c r="B8" i="6"/>
  <c r="U7" i="6"/>
  <c r="T7" i="6"/>
  <c r="S7" i="6"/>
  <c r="R7" i="6"/>
  <c r="I7" i="6"/>
  <c r="D7" i="6"/>
  <c r="C7" i="6"/>
  <c r="B7" i="6"/>
  <c r="U6" i="6"/>
  <c r="T6" i="6"/>
  <c r="S6" i="6"/>
  <c r="R6" i="6"/>
  <c r="I6" i="6"/>
  <c r="D6" i="6"/>
  <c r="C6" i="6"/>
  <c r="B6" i="6"/>
  <c r="I20" i="5"/>
  <c r="H20" i="5"/>
  <c r="G20" i="5"/>
  <c r="F20" i="5"/>
  <c r="E20" i="5"/>
  <c r="D20" i="5"/>
  <c r="C20" i="5"/>
  <c r="B20" i="5"/>
  <c r="I19" i="5"/>
  <c r="H19" i="5"/>
  <c r="G19" i="5"/>
  <c r="F19" i="5"/>
  <c r="E19" i="5"/>
  <c r="D19" i="5"/>
  <c r="C19" i="5"/>
  <c r="B19" i="5"/>
  <c r="I18" i="5"/>
  <c r="H18" i="5"/>
  <c r="G18" i="5"/>
  <c r="F18" i="5"/>
  <c r="E18" i="5"/>
  <c r="D18" i="5"/>
  <c r="C18" i="5"/>
  <c r="B18" i="5"/>
  <c r="I17" i="5"/>
  <c r="H17" i="5"/>
  <c r="G17" i="5"/>
  <c r="F17" i="5"/>
  <c r="E17" i="5"/>
  <c r="D17" i="5"/>
  <c r="C17" i="5"/>
  <c r="B17" i="5"/>
  <c r="I16" i="5"/>
  <c r="H16" i="5"/>
  <c r="G16" i="5"/>
  <c r="F16" i="5"/>
  <c r="E16" i="5"/>
  <c r="D16" i="5"/>
  <c r="C16" i="5"/>
  <c r="B16" i="5"/>
  <c r="I15" i="5"/>
  <c r="H15" i="5"/>
  <c r="G15" i="5"/>
  <c r="F15" i="5"/>
  <c r="E15" i="5"/>
  <c r="D15" i="5"/>
  <c r="C15" i="5"/>
  <c r="B15" i="5"/>
  <c r="I14" i="5"/>
  <c r="H14" i="5"/>
  <c r="G14" i="5"/>
  <c r="F14" i="5"/>
  <c r="E14" i="5"/>
  <c r="D14" i="5"/>
  <c r="C14" i="5"/>
  <c r="B14" i="5"/>
  <c r="I13" i="5"/>
  <c r="H13" i="5"/>
  <c r="G13" i="5"/>
  <c r="F13" i="5"/>
  <c r="E13" i="5"/>
  <c r="D13" i="5"/>
  <c r="C13" i="5"/>
  <c r="B13" i="5"/>
  <c r="I12" i="5"/>
  <c r="H12" i="5"/>
  <c r="G12" i="5"/>
  <c r="F12" i="5"/>
  <c r="E12" i="5"/>
  <c r="D12" i="5"/>
  <c r="C12" i="5"/>
  <c r="B12" i="5"/>
  <c r="I11" i="5"/>
  <c r="H11" i="5"/>
  <c r="G11" i="5"/>
  <c r="F11" i="5"/>
  <c r="E11" i="5"/>
  <c r="D11" i="5"/>
  <c r="C11" i="5"/>
  <c r="B11" i="5"/>
  <c r="I10" i="5"/>
  <c r="H10" i="5"/>
  <c r="G10" i="5"/>
  <c r="F10" i="5"/>
  <c r="E10" i="5"/>
  <c r="D10" i="5"/>
  <c r="C10" i="5"/>
  <c r="B10" i="5"/>
  <c r="I9" i="5"/>
  <c r="H9" i="5"/>
  <c r="G9" i="5"/>
  <c r="F9" i="5"/>
  <c r="E9" i="5"/>
  <c r="D9" i="5"/>
  <c r="C9" i="5"/>
  <c r="B9" i="5"/>
  <c r="I8" i="5"/>
  <c r="H8" i="5"/>
  <c r="G8" i="5"/>
  <c r="F8" i="5"/>
  <c r="E8" i="5"/>
  <c r="D8" i="5"/>
  <c r="C8" i="5"/>
  <c r="B8" i="5"/>
  <c r="I7" i="5"/>
  <c r="H7" i="5"/>
  <c r="G7" i="5"/>
  <c r="F7" i="5"/>
  <c r="E7" i="5"/>
  <c r="D7" i="5"/>
  <c r="C7" i="5"/>
  <c r="B7" i="5"/>
  <c r="I6" i="5"/>
  <c r="H6" i="5"/>
  <c r="G6" i="5"/>
  <c r="F6" i="5"/>
  <c r="E6" i="5"/>
  <c r="D6" i="5"/>
  <c r="C6" i="5"/>
  <c r="B6" i="5"/>
  <c r="I5" i="5"/>
  <c r="H5" i="5"/>
  <c r="G5" i="5"/>
  <c r="F5" i="5"/>
  <c r="E5" i="5"/>
  <c r="D5" i="5"/>
  <c r="C5" i="5"/>
  <c r="B5" i="5"/>
  <c r="A37" i="3"/>
  <c r="A36" i="3"/>
  <c r="A35" i="3"/>
  <c r="A34" i="3"/>
  <c r="A33" i="3"/>
  <c r="A32" i="3"/>
  <c r="A31" i="3"/>
  <c r="A30" i="3"/>
  <c r="A29" i="3"/>
  <c r="A28" i="3"/>
  <c r="A27" i="3"/>
  <c r="A26" i="3"/>
  <c r="A25" i="3"/>
  <c r="A24" i="3"/>
  <c r="A23" i="3"/>
  <c r="A22" i="3"/>
  <c r="A21" i="3"/>
  <c r="A20" i="3"/>
  <c r="A19" i="3"/>
  <c r="A18" i="3"/>
  <c r="A17" i="3"/>
  <c r="A16" i="3"/>
  <c r="A15" i="3"/>
  <c r="D12" i="2"/>
  <c r="E12" i="2" s="1"/>
  <c r="T13" i="6" l="1"/>
  <c r="O19" i="6" s="1"/>
  <c r="R13" i="6"/>
  <c r="O17" i="6" s="1"/>
  <c r="U13" i="6"/>
  <c r="O20" i="6" s="1"/>
  <c r="S13" i="6"/>
  <c r="O18" i="6" s="1"/>
  <c r="M10" i="6"/>
  <c r="Q10" i="6" s="1"/>
  <c r="L10" i="6"/>
  <c r="P10" i="6" s="1"/>
  <c r="K10" i="6"/>
  <c r="O10" i="6" s="1"/>
  <c r="J10" i="6"/>
  <c r="N10" i="6" s="1"/>
  <c r="M12" i="6"/>
  <c r="Q12" i="6" s="1"/>
  <c r="L12" i="6"/>
  <c r="P12" i="6" s="1"/>
  <c r="K12" i="6"/>
  <c r="O12" i="6" s="1"/>
  <c r="J12" i="6"/>
  <c r="N12" i="6" s="1"/>
  <c r="K11" i="6"/>
  <c r="O11" i="6" s="1"/>
  <c r="J11" i="6"/>
  <c r="N11" i="6" s="1"/>
  <c r="M11" i="6"/>
  <c r="Q11" i="6" s="1"/>
  <c r="L11" i="6"/>
  <c r="P11" i="6" s="1"/>
  <c r="L9" i="6"/>
  <c r="P9" i="6" s="1"/>
  <c r="K9" i="6"/>
  <c r="O9" i="6" s="1"/>
  <c r="M9" i="6"/>
  <c r="Q9" i="6" s="1"/>
  <c r="J9" i="6"/>
  <c r="N9" i="6" s="1"/>
  <c r="M8" i="6"/>
  <c r="Q8" i="6" s="1"/>
  <c r="L8" i="6"/>
  <c r="P8" i="6" s="1"/>
  <c r="K8" i="6"/>
  <c r="O8" i="6" s="1"/>
  <c r="J8" i="6"/>
  <c r="N8" i="6" s="1"/>
  <c r="M7" i="6"/>
  <c r="Q7" i="6" s="1"/>
  <c r="L7" i="6"/>
  <c r="P7" i="6" s="1"/>
  <c r="K7" i="6"/>
  <c r="O7" i="6" s="1"/>
  <c r="J7" i="6"/>
  <c r="N7" i="6" s="1"/>
  <c r="M6" i="6"/>
  <c r="L6" i="6"/>
  <c r="K6" i="6"/>
  <c r="J6" i="6"/>
  <c r="C17" i="6"/>
  <c r="F17" i="6" s="1"/>
  <c r="Q6" i="6" l="1"/>
  <c r="C20" i="6"/>
  <c r="F20" i="6" s="1"/>
  <c r="I20" i="6"/>
  <c r="P6" i="6"/>
  <c r="C19" i="6"/>
  <c r="F19" i="6" s="1"/>
  <c r="I19" i="6"/>
  <c r="O6" i="6"/>
  <c r="C18" i="6"/>
  <c r="F18" i="6" s="1"/>
  <c r="I18" i="6"/>
  <c r="N6" i="6"/>
  <c r="I17" i="6"/>
  <c r="Q13" i="6" l="1"/>
  <c r="B20" i="6" s="1"/>
  <c r="J20" i="6"/>
  <c r="J19" i="6"/>
  <c r="P13" i="6"/>
  <c r="B19" i="6" s="1"/>
  <c r="O13" i="6"/>
  <c r="B18" i="6" s="1"/>
  <c r="J18" i="6"/>
  <c r="N13" i="6"/>
  <c r="B17" i="6" s="1"/>
  <c r="J17" i="6"/>
  <c r="N17" i="6" l="1"/>
  <c r="P17" i="6" s="1"/>
  <c r="G17" i="6"/>
  <c r="G20" i="6"/>
  <c r="N20" i="6"/>
  <c r="P20" i="6" s="1"/>
  <c r="G19" i="6"/>
  <c r="N19" i="6"/>
  <c r="P19" i="6" s="1"/>
  <c r="G18" i="6"/>
  <c r="N18" i="6"/>
  <c r="P18" i="6" s="1"/>
  <c r="C26" i="6" l="1"/>
  <c r="C25" i="6"/>
  <c r="C22" i="6"/>
  <c r="H17" i="6"/>
  <c r="H19" i="6"/>
  <c r="H18" i="6"/>
  <c r="H20" i="6"/>
  <c r="L18" i="6" l="1"/>
  <c r="M18" i="6" s="1"/>
  <c r="L17" i="6"/>
  <c r="L20" i="6"/>
  <c r="M20" i="6" s="1"/>
  <c r="L19" i="6"/>
  <c r="M19" i="6" s="1"/>
  <c r="M17" i="6" l="1"/>
  <c r="C27" i="6"/>
</calcChain>
</file>

<file path=xl/sharedStrings.xml><?xml version="1.0" encoding="utf-8"?>
<sst xmlns="http://schemas.openxmlformats.org/spreadsheetml/2006/main" count="319" uniqueCount="236">
  <si>
    <t>Matriz de decisión multicriterio: agilidad a escala</t>
  </si>
  <si>
    <t>PF-3872 Metodologías Ágiles · Trabajo final, Parte 1 · Alternativas: Nexus, LeSS, SAFe y Disciplined Agile (DA)</t>
  </si>
  <si>
    <t>Propósito</t>
  </si>
  <si>
    <t>Recomendar uno de cuatro enfoques de agilidad a escala para una organización nueva, con un cálculo reproducible: Puntaje(marco) = Σ peso(criterio) × compatibilidad(marco, criterio). El máximo posible es 5,00.</t>
  </si>
  <si>
    <t>Componentes</t>
  </si>
  <si>
    <t>1_Criterios_Pesos: criterios, pesos y justificación · 2_Escalas_Reglas: escala 0-5 y reglas que activan cada puntaje · 3_Reglas_Decision: exclusiones, empates, datos faltantes y parámetros · Aux_Sensibilidad: tabla auxiliar para el análisis de datos faltantes · Plantilla: hoja en blanco para evaluar cualquier caso. El libro no trae casos precargados: cada evaluación se hace sobre una copia de la Plantilla.</t>
  </si>
  <si>
    <t>Cómo evaluar un caso nuevo</t>
  </si>
  <si>
    <t>1) Copiar la hoja «Plantilla» (clic derecho › Mover o copiar › Crear una copia). 2) Escribir el nombre y la descripción del caso. 3) Para cada criterio, anotar la evidencia textual del caso en «Evidencia», elegir el valor en la lista desplegable de «Valor capturado» (en C1 escribir el número de equipos) y el «Estado del dato» (Explícito, Inferido o Faltante). 4) Si el valor es inferido, escribir el supuesto. 5) Si existe una restricción organizacional que descarte un marco, marcar «Exclusión manual = Sí» y escribir el motivo. 6) Leer la recomendación, el empate técnico y la robustez en el bloque de resultados.</t>
  </si>
  <si>
    <t>Colores</t>
  </si>
  <si>
    <t>Amarillo: celdas de captura (las únicas que se editan). Gris: celdas calculadas con fórmulas (no editar). Verde: resultado final.</t>
  </si>
  <si>
    <t>Auditoría del agente de IA</t>
  </si>
  <si>
    <t>El agente devuelve una «ficha de captura» con el valor y el estado de cada criterio. Esos valores se copian en una copia de la Plantilla y los puntajes calculados por la hoja deben coincidir con los del agente (tolerancia 0,01). Cualquier diferencia indica un error del agente.</t>
  </si>
  <si>
    <t>Regla de integridad</t>
  </si>
  <si>
    <t>Las fórmulas no contienen respuestas fijas para ningún caso: el resultado depende solo de los valores capturados y de las tablas de reglas. Al cambiar un valor capturado cambia el resultado.</t>
  </si>
  <si>
    <t>1. Criterios y pesos</t>
  </si>
  <si>
    <t>Los pesos se asignaron repartiendo 100 puntos según el poder de cada criterio para diferenciar los cuatro marcos (criterios estructurales &gt; preferencias), y se validaron con el análisis de sensibilidad de las pruebas 4A y 4B.</t>
  </si>
  <si>
    <t>ID</t>
  </si>
  <si>
    <t>Criterio</t>
  </si>
  <si>
    <t>Qué evalúa</t>
  </si>
  <si>
    <t>Peso</t>
  </si>
  <si>
    <t>Excluyente</t>
  </si>
  <si>
    <t>Por qué se seleccionó</t>
  </si>
  <si>
    <t>Justificación del peso</t>
  </si>
  <si>
    <t>C1</t>
  </si>
  <si>
    <t>Escala (número de equipos)</t>
  </si>
  <si>
    <t>Cantidad de equipos que deben coordinarse en la iniciativa.</t>
  </si>
  <si>
    <t>Sí</t>
  </si>
  <si>
    <t>Cada marco fue diseñado para un rango de tamaño: Nexus 3-9 equipos, LeSS 2-8 (LeSS Huge para más), SAFe desde un Agile Release Train (5-12 equipos) hasta varios trenes, y DA es independiente del tamaño.</t>
  </si>
  <si>
    <t>Es un dato objetivo y casi siempre disponible, pero por sí solo no decide: dos organizaciones del mismo tamaño pueden necesitar marcos distintos. Por eso pesa igual que los demás criterios estructurales (15 %) y no más.</t>
  </si>
  <si>
    <t>C2</t>
  </si>
  <si>
    <t>Estructura de producto o solución</t>
  </si>
  <si>
    <t>Si los equipos construyen un único producto, varias soluciones conectadas o productos/proyectos independientes.</t>
  </si>
  <si>
    <t>Es la restricción de diseño más fuerte de Nexus y LeSS (un solo Product Backlog e incremento integrado) y el elemento que distingue a SAFe (cadenas de valor y soluciones) y a DA (contextos distintos).</t>
  </si>
  <si>
    <t>Es el criterio con mayor poder de discriminación entre los cuatro marcos: separa de inmediato a los marcos de un solo producto de los de múltiples soluciones. Recibe el mayor peso (20 %).</t>
  </si>
  <si>
    <t>C3</t>
  </si>
  <si>
    <t>Dependencias entre equipos y áreas</t>
  </si>
  <si>
    <t>Grado de dependencia técnica y organizacional entre equipos y con áreas transversales (arquitectura, datos, seguridad, operaciones, proveedores).</t>
  </si>
  <si>
    <t>No</t>
  </si>
  <si>
    <t>La gestión de dependencias es la razón principal para escalar. Nexus y LeSS las gestionan dentro de un producto; SAFe agrega planificación sincronizada (PI Planning) entre soluciones y áreas; DA las trata según el contexto.</t>
  </si>
  <si>
    <t>Determina cuánta coordinación formal se necesita. Es estructural, por eso 15 %.</t>
  </si>
  <si>
    <t>C4</t>
  </si>
  <si>
    <t>Gobernanza y cumplimiento</t>
  </si>
  <si>
    <t>Exigencias de regulación, auditoría, trazabilidad o control contractual.</t>
  </si>
  <si>
    <t>SAFe y DA incluyen guía explícita de gobernanza y cumplimiento; Nexus y LeSS la dejan a la organización.</t>
  </si>
  <si>
    <t>Pesa 10 % porque los cuatro marcos pueden convivir con controles adicionales y porque parte de la gobernanza ya está reflejada en el alineamiento estratégico (C5); evita contar dos veces el mismo efecto.</t>
  </si>
  <si>
    <t>C5</t>
  </si>
  <si>
    <t>Alineamiento estratégico y portafolio</t>
  </si>
  <si>
    <t>Necesidad de vincular iniciativas con estrategia, inversiones, presupuesto y visibilidad de portafolio.</t>
  </si>
  <si>
    <t>Solo SAFe trae un nivel de portafolio completo (Lean Portfolio Management); DA tiene guía de portafolio; Nexus y LeSS no cubren este nivel.</t>
  </si>
  <si>
    <t>Es la necesidad que más diferencia una adopción empresarial de una de producto. 15 %.</t>
  </si>
  <si>
    <t>C6</t>
  </si>
  <si>
    <t>Autonomía y adaptación del proceso</t>
  </si>
  <si>
    <t>Si la organización acepta un proceso común o requiere que cada equipo elija/adapte su forma de trabajo.</t>
  </si>
  <si>
    <t>Nexus y LeSS exigen Scrum en todos los equipos; SAFe estandariza cadencias y roles; DA se basa en que cada equipo elija su forma de trabajo (Way of Working).</t>
  </si>
  <si>
    <t>Pesa 10 % porque es una preferencia cultural más que una condición estructural y está parcialmente correlacionada con la heterogeneidad (C7).</t>
  </si>
  <si>
    <t>C7</t>
  </si>
  <si>
    <t>Heterogeneidad del trabajo y ciclos de vida</t>
  </si>
  <si>
    <t>Si conviven tipos de trabajo distintos: desarrollo iterativo, mantenimiento/flujo continuo, híbrido o predictivo.</t>
  </si>
  <si>
    <t>Nexus y LeSS suponen trabajo homogéneo con Scrum; SAFe admite equipos Scrum y Kanban dentro de un tren; DA ofrece varios ciclos de vida (ágil, lean, continuo, exploratorio, por programa).</t>
  </si>
  <si>
    <t>Es estructural: si el trabajo no es homogéneo, un marco basado solo en Scrum deja de ser aplicable. 15 %.</t>
  </si>
  <si>
    <t>Total (debe ser 100 %)</t>
  </si>
  <si>
    <t>2. Escala de compatibilidad y reglas de puntuación</t>
  </si>
  <si>
    <t>Escala de compatibilidad (0 a 5)</t>
  </si>
  <si>
    <t>Puntaje</t>
  </si>
  <si>
    <t>Significado</t>
  </si>
  <si>
    <t>Regla de asignación</t>
  </si>
  <si>
    <t>Incompatible</t>
  </si>
  <si>
    <t>El marco contradice una condición del caso. En criterios excluyentes descarta el marco.</t>
  </si>
  <si>
    <t>Muy baja</t>
  </si>
  <si>
    <t>El marco requiere cambios organizacionales profundos o extensiones fuera de su diseño para cubrir la condición.</t>
  </si>
  <si>
    <t>Baja</t>
  </si>
  <si>
    <t>El marco cubre la condición de forma parcial; se necesitan prácticas complementarias importantes.</t>
  </si>
  <si>
    <t>Media</t>
  </si>
  <si>
    <t>El marco puede adaptarse a la condición con ajustes moderados.</t>
  </si>
  <si>
    <t>Alta</t>
  </si>
  <si>
    <t>El marco cubre la condición con sus propias prácticas con ajustes menores.</t>
  </si>
  <si>
    <t>Muy alta</t>
  </si>
  <si>
    <t>La condición coincide con el escenario para el que el marco fue diseñado.</t>
  </si>
  <si>
    <t>Dato faltante: se asigna 2,5 a los cuatro marcos (valor neutro: no favorece a ninguno) y se activa el análisis de sensibilidad.</t>
  </si>
  <si>
    <t>Reglas: qué información del caso activa cada nivel y qué puntaje recibe cada marco</t>
  </si>
  <si>
    <t>Clave</t>
  </si>
  <si>
    <t>Nivel</t>
  </si>
  <si>
    <t>Información del caso que activa el nivel (disparador)</t>
  </si>
  <si>
    <t>Nexus</t>
  </si>
  <si>
    <t>LeSS</t>
  </si>
  <si>
    <t>SAFe</t>
  </si>
  <si>
    <t>DA</t>
  </si>
  <si>
    <t>Fundamento del puntaje</t>
  </si>
  <si>
    <t>1 a 3 equipos</t>
  </si>
  <si>
    <t>El caso indica 1 a 3 equipos (o hasta ~27 personas).</t>
  </si>
  <si>
    <t>Por debajo del mínimo de Nexus (3) y de un ART de SAFe; LeSS funciona desde 2 equipos; DA aplica a cualquier tamaño.</t>
  </si>
  <si>
    <t>4 a 9 equipos</t>
  </si>
  <si>
    <t>El caso indica entre 4 y 9 equipos.</t>
  </si>
  <si>
    <t>Rango de diseño de Nexus (3-9) y LeSS (2-8). Un solo ART de SAFe sería un tren pequeño.</t>
  </si>
  <si>
    <t>10 a 15 equipos</t>
  </si>
  <si>
    <t>El caso indica entre 10 y 15 equipos.</t>
  </si>
  <si>
    <t>Nexus necesita Nexus+ (varios Nexus); LeSS Huge empieza a aplicar; SAFe cabe en 1-2 ART.</t>
  </si>
  <si>
    <t>16 a 50 equipos</t>
  </si>
  <si>
    <t>El caso indica entre 16 y 50 equipos (≈150-500 personas).</t>
  </si>
  <si>
    <t>Rango típico de SAFe Large Solution / varios ART. LeSS Huge es posible pero exige reorganizar áreas de requerimientos. Nexus queda fuera de su diseño.</t>
  </si>
  <si>
    <t>Más de 50 equipos</t>
  </si>
  <si>
    <t>El caso indica más de 50 equipos.</t>
  </si>
  <si>
    <t>Nexus no está diseñado para esta escala (incompatible). SAFe Portfolio/Large Solution es el escenario previsto.</t>
  </si>
  <si>
    <t>Un solo producto</t>
  </si>
  <si>
    <t>Todos los equipos trabajan sobre un mismo producto, con un Product Backlog y un incremento integrado.</t>
  </si>
  <si>
    <t>Es el supuesto base de Nexus y LeSS. SAFe y DA pueden aplicarse pero agregan estructura innecesaria.</t>
  </si>
  <si>
    <t>Varias soluciones interdependientes</t>
  </si>
  <si>
    <t>Varios productos o soluciones conectados que deben integrarse o entregar valor en conjunto (cadena de valor).</t>
  </si>
  <si>
    <t>SAFe organiza trenes por cadena de valor y soluciones grandes. Nexus no contempla varios backlogs; LeSS obliga a redefinir todo como un solo producto amplio.</t>
  </si>
  <si>
    <t>Productos o proyectos independientes</t>
  </si>
  <si>
    <t>Productos o proyectos sin incremento común (por ejemplo, clientes distintos).</t>
  </si>
  <si>
    <t>Nexus y LeSS requieren un único producto: incompatibles. SAFe no aporta su valor principal (coordinar un tren). DA está diseñado para contextos distintos.</t>
  </si>
  <si>
    <t>Bajas</t>
  </si>
  <si>
    <t>Los equipos son mayormente independientes; no se mencionan dependencias relevantes ni áreas transversales compartidas.</t>
  </si>
  <si>
    <t>El equipo de integración de Nexus y el PI Planning de SAFe serían sobrecarga. LeSS (equipos de característica) y DA se ajustan bien.</t>
  </si>
  <si>
    <t>Medias</t>
  </si>
  <si>
    <t>Dependencias entre equipos del mismo producto (código, integración, componentes compartidos) que se resuelven en refinamiento e integración.</t>
  </si>
  <si>
    <t>Es exactamente el problema que resuelve Nexus (Nexus Integration Team).</t>
  </si>
  <si>
    <t>Altas</t>
  </si>
  <si>
    <t>Dependencias entre soluciones y con áreas transversales (arquitectura, datos, seguridad, operaciones, proveedores) que exigen planificación sincronizada.</t>
  </si>
  <si>
    <t>SAFe incorpora PI Planning, Solution Train y roles de arquitectura. LeSS propone eliminar dependencias reorganizando, lo cual es costoso en este contexto.</t>
  </si>
  <si>
    <t>Ligera</t>
  </si>
  <si>
    <t>Sin regulación sectorial relevante ni exigencias formales de auditoría.</t>
  </si>
  <si>
    <t>Los marcos livianos aprovechan la ausencia de controles; SAFe agrega estructura no requerida.</t>
  </si>
  <si>
    <t>Variable por contrato o cliente</t>
  </si>
  <si>
    <t>Las exigencias de control cambian por cliente, contrato o proyecto.</t>
  </si>
  <si>
    <t>DA adapta la gobernanza al contexto de cada equipo/proyecto; los demás imponen un esquema único.</t>
  </si>
  <si>
    <t>Regulatoria formal</t>
  </si>
  <si>
    <t>Sector regulado (banca, seguros, salud, gobierno) con cumplimiento, auditoría y trazabilidad formales.</t>
  </si>
  <si>
    <t>SAFe incluye cumplimiento y gobernanza Lean en sus niveles; DA tiene guía explícita de gobernanza; Nexus y LeSS no la cubren.</t>
  </si>
  <si>
    <t>Bajo</t>
  </si>
  <si>
    <t>Las decisiones se toman a nivel de proyecto/cliente; no se requiere gestión común de portafolio ni de inversiones.</t>
  </si>
  <si>
    <t>El nivel de portafolio de SAFe sería sobrecarga.</t>
  </si>
  <si>
    <t>Medio</t>
  </si>
  <si>
    <t>Hay una hoja de ruta compartida y coordinación de prioridades entre áreas, sin gestión formal de inversiones.</t>
  </si>
  <si>
    <t>Los cuatro marcos pueden cubrirlo con ajustes.</t>
  </si>
  <si>
    <t>Alto</t>
  </si>
  <si>
    <t>Se exige vincular iniciativas con estrategia, inversiones o presupuesto y dar visibilidad de portafolio.</t>
  </si>
  <si>
    <t>SAFe incluye Lean Portfolio Management y temas estratégicos. DA tiene guía de portafolio menos prescriptiva. Nexus y LeSS no tienen este nivel.</t>
  </si>
  <si>
    <t>La organización acepta o prefiere un proceso, roles y cadencia comunes.</t>
  </si>
  <si>
    <t>SAFe estandariza; Nexus y LeSS imponen Scrum; DA rinde menos cuando no se aprovecha la elección.</t>
  </si>
  <si>
    <t>Proceso común con espacio para que los equipos ajusten prácticas.</t>
  </si>
  <si>
    <t>Los cuatro marcos lo admiten.</t>
  </si>
  <si>
    <t>Los equipos deben elegir o adaptar sus prácticas; no se quiere imponer un único proceso.</t>
  </si>
  <si>
    <t>DA se basa en la elección de la forma de trabajo. Nexus y SAFe imponen proceso; LeSS da autonomía dentro de Scrum.</t>
  </si>
  <si>
    <t>Todo el trabajo es desarrollo iterativo de producto con una sola forma de trabajo.</t>
  </si>
  <si>
    <t>Supuesto base de Nexus y LeSS.</t>
  </si>
  <si>
    <t>Predomina el desarrollo iterativo pero hay trabajo operativo, de mantenimiento o de flujo.</t>
  </si>
  <si>
    <t>SAFe admite equipos Kanban en el tren; DA tiene ciclo de vida continuo/lean.</t>
  </si>
  <si>
    <t>Conviven ciclos de vida distintos: iterativo, mantenimiento/flujo continuo e híbrido o predictivo.</t>
  </si>
  <si>
    <t>Nexus exige Scrum en todos los equipos: incompatible. DA ofrece varios ciclos de vida.</t>
  </si>
  <si>
    <t>3. Reglas de decisión: exclusiones, empates y datos faltantes</t>
  </si>
  <si>
    <t>Parámetro</t>
  </si>
  <si>
    <t>Valor</t>
  </si>
  <si>
    <t>Uso</t>
  </si>
  <si>
    <t>Umbral de empate técnico</t>
  </si>
  <si>
    <t>Si la diferencia entre el primer marco elegible y otro marco elegible es menor o igual a este valor, se considera empate técnico (2 % de la escala de 5 puntos).</t>
  </si>
  <si>
    <t>Puntaje neutro por dato faltante</t>
  </si>
  <si>
    <t>Se asigna a los cuatro marcos cuando un criterio no tiene información; no altera el orden, pero activa el análisis de sensibilidad.</t>
  </si>
  <si>
    <t>Regla</t>
  </si>
  <si>
    <t>Tipo</t>
  </si>
  <si>
    <t>Descripción verificable</t>
  </si>
  <si>
    <t>R1. Captura</t>
  </si>
  <si>
    <t>Datos</t>
  </si>
  <si>
    <t>Cada criterio se captura con un valor de la lista y un estado: Explícito (el caso lo dice), Inferido (se deduce; se escribe el supuesto) o Faltante (no hay base).</t>
  </si>
  <si>
    <t>R2. Cálculo</t>
  </si>
  <si>
    <t>Cálculo</t>
  </si>
  <si>
    <t>Puntaje(marco) = Σ peso × compatibilidad. Compatibilidad = valor de la tabla de reglas para el nivel capturado; si el dato es Faltante, PUNTAJE_NEUTRO.</t>
  </si>
  <si>
    <t>R3. Exclusión automática</t>
  </si>
  <si>
    <t>Restricción crítica</t>
  </si>
  <si>
    <t>Un marco queda Excluido si obtiene 0 en un criterio marcado como excluyente (C1, C2, C7) con dato Explícito o Inferido. Un marco excluido no puede recomendarse aunque su total sea alto.</t>
  </si>
  <si>
    <t>R4. Exclusión manual</t>
  </si>
  <si>
    <t>Si el caso declara una restricción que impide un marco (p. ej., «no se adoptará Scrum», «no se puede certificar personal»), se marca Exclusión manual = Sí y se documenta el motivo.</t>
  </si>
  <si>
    <t>R5. Recomendación</t>
  </si>
  <si>
    <t>Decisión</t>
  </si>
  <si>
    <t>Se recomienda el marco elegible con mayor puntaje total.</t>
  </si>
  <si>
    <t>R6. Empate técnico</t>
  </si>
  <si>
    <t>Desempate</t>
  </si>
  <si>
    <t>Si dos o más marcos elegibles están a UMBRAL_EMPATE o menos del máximo, se desempata en este orden: (a) menor número de criterios con compatibilidad ≤ 1 (menos riesgos críticos); (b) mayor puntaje ponderado en criterios excluyentes/estructurales; (c) parsimonia: el marco más liviano de adoptar (Nexus &gt; LeSS &gt; DA &gt; SAFe).</t>
  </si>
  <si>
    <t>R7. Datos faltantes y robustez</t>
  </si>
  <si>
    <t>Sensibilidad</t>
  </si>
  <si>
    <t>Para cada competidor se calcula la brecha en el peor caso: brecha actual + Σ (peso × menor diferencia posible entre el recomendado y el competidor en cada criterio faltante). Si alguna brecha en el peor caso es ≤ 0, la recomendación es Sensible: el agente debe pedir aclaración de esos criterios antes de concluir. Si todas son &gt; 0, es Robusta y se informan los supuestos.</t>
  </si>
  <si>
    <t>R8. Inferencias</t>
  </si>
  <si>
    <t>Solo se infiere un valor si hay evidencia indirecta en el caso (p. ej., sector regulado, 250 personas ≈ 25 equipos, a razón de unas 10 personas por equipo). Toda inferencia se reporta como supuesto.</t>
  </si>
  <si>
    <t>R9. Sin marco compatible</t>
  </si>
  <si>
    <t>Si los cuatro marcos quedan excluidos, la matriz informa «Ninguno compatible» y se recomienda revisar el caso.</t>
  </si>
  <si>
    <t>Tabla auxiliar: menor diferencia posible (recomendado − competidor) en cada criterio, considerando todos sus niveles</t>
  </si>
  <si>
    <t>Se usa para calcular la brecha en el peor caso cuando un criterio es Faltante (regla R7). Se calcula con fórmulas a partir de la hoja 2_Escalas_Reglas.</t>
  </si>
  <si>
    <t>Recomendado</t>
  </si>
  <si>
    <t>Clave par</t>
  </si>
  <si>
    <t>Disciplined Agile</t>
  </si>
  <si>
    <t>Caso nuevo: (escriba el nombre)</t>
  </si>
  <si>
    <t>Descripción del caso:</t>
  </si>
  <si>
    <t>(Pegue aquí la descripción del caso)</t>
  </si>
  <si>
    <t>A. Evaluación del caso (captura de datos y compatibilidad)</t>
  </si>
  <si>
    <t>Evidencia del caso</t>
  </si>
  <si>
    <t>Valor capturado</t>
  </si>
  <si>
    <t>Estado del dato</t>
  </si>
  <si>
    <t>Supuesto / justificación</t>
  </si>
  <si>
    <t>Nivel aplicado</t>
  </si>
  <si>
    <t>Pond. Nexus</t>
  </si>
  <si>
    <t>Pond. LeSS</t>
  </si>
  <si>
    <t>Pond. SAFe</t>
  </si>
  <si>
    <t>Pond. DA</t>
  </si>
  <si>
    <t>Ajuste peor caso Nexus</t>
  </si>
  <si>
    <t>Ajuste peor caso LeSS</t>
  </si>
  <si>
    <t>Ajuste peor caso SAFe</t>
  </si>
  <si>
    <t>Ajuste peor caso DA</t>
  </si>
  <si>
    <t>Total ponderado</t>
  </si>
  <si>
    <t>B. Resultados</t>
  </si>
  <si>
    <t>Marco</t>
  </si>
  <si>
    <t>Total</t>
  </si>
  <si>
    <t>Exclusión automática</t>
  </si>
  <si>
    <t>Exclusión manual</t>
  </si>
  <si>
    <t>Motivo exclusión manual</t>
  </si>
  <si>
    <t>Estado</t>
  </si>
  <si>
    <t>Total elegible</t>
  </si>
  <si>
    <t>Ranking</t>
  </si>
  <si>
    <t>Criterios con compat. ≤ 1</t>
  </si>
  <si>
    <t>Puntaje estructural</t>
  </si>
  <si>
    <t>Parsimonia</t>
  </si>
  <si>
    <t>En rango de empate</t>
  </si>
  <si>
    <t>Clave de desempate</t>
  </si>
  <si>
    <t>Brecha vs recomendado</t>
  </si>
  <si>
    <t>Ajuste peor caso</t>
  </si>
  <si>
    <t>Brecha en peor caso</t>
  </si>
  <si>
    <t>Máximo puntaje elegible</t>
  </si>
  <si>
    <t>RECOMENDACIÓN</t>
  </si>
  <si>
    <t>Puntaje del recomendado</t>
  </si>
  <si>
    <t>Segundo lugar (elegible)</t>
  </si>
  <si>
    <t>Brecha 1.º − 2.º</t>
  </si>
  <si>
    <t>Empate técnico</t>
  </si>
  <si>
    <t>Peso con datos explícitos</t>
  </si>
  <si>
    <t>Peso con datos inferidos</t>
  </si>
  <si>
    <t>Peso con datos faltantes</t>
  </si>
  <si>
    <t>Robustez (regla R7)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</si>
</sst>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4"/>
      <color rgb="FF1F3864"/>
      <name val="Calibri"/>
    </font>
    <font>
      <b/>
      <sz val="11"/>
      <name val="Calibri"/>
    </font>
    <font>
      <b/>
      <sz val="11"/>
      <color rgb="FFFFFFFF"/>
      <name val="Calibri"/>
    </font>
    <font>
      <b/>
      <sz val="11"/>
      <color rgb="FF1F3864"/>
      <name val="Calibri"/>
    </font>
    <font>
      <i/>
      <sz val="11"/>
      <name val="Calibri"/>
    </font>
  </fonts>
  <fills count="6">
    <fill>
      <patternFill patternType="none"/>
    </fill>
    <fill>
      <patternFill patternType="gray125"/>
    </fill>
    <fill>
      <patternFill patternType="solid">
        <fgColor rgb="FF2F5496"/>
      </patternFill>
    </fill>
    <fill>
      <patternFill patternType="solid">
        <fgColor rgb="FFFFF2CC"/>
      </patternFill>
    </fill>
    <fill>
      <patternFill patternType="solid">
        <fgColor rgb="FFEDEDED"/>
      </patternFill>
    </fill>
    <fill>
      <patternFill patternType="solid">
        <fgColor rgb="FFE2EFDA"/>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9"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9"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0" borderId="0" xfId="0" applyFont="1"/>
    <xf numFmtId="0" fontId="5" fillId="0" borderId="0" xfId="0" applyFont="1"/>
    <xf numFmtId="0" fontId="0" fillId="4" borderId="1" xfId="0" applyFill="1" applyBorder="1" applyAlignment="1">
      <alignment horizontal="center" vertical="center" wrapText="1"/>
    </xf>
    <xf numFmtId="0" fontId="2" fillId="0" borderId="1" xfId="0" applyFont="1" applyBorder="1" applyAlignment="1">
      <alignment vertical="top" wrapText="1"/>
    </xf>
    <xf numFmtId="2" fontId="0" fillId="3" borderId="1" xfId="0" applyNumberFormat="1" applyFill="1" applyBorder="1" applyAlignment="1">
      <alignment horizontal="center" vertical="center" wrapText="1"/>
    </xf>
    <xf numFmtId="0" fontId="0" fillId="3" borderId="1" xfId="0" applyFill="1" applyBorder="1" applyAlignment="1">
      <alignment vertical="top" wrapText="1"/>
    </xf>
    <xf numFmtId="0" fontId="2" fillId="0" borderId="1" xfId="0" applyFont="1" applyBorder="1" applyAlignment="1">
      <alignment horizontal="center" vertical="center" wrapText="1"/>
    </xf>
    <xf numFmtId="0" fontId="0" fillId="4" borderId="1" xfId="0" applyFill="1" applyBorder="1" applyAlignment="1">
      <alignment vertical="top" wrapText="1"/>
    </xf>
    <xf numFmtId="9" fontId="0" fillId="4" borderId="1" xfId="0" applyNumberFormat="1" applyFill="1" applyBorder="1" applyAlignment="1">
      <alignment horizontal="center" vertical="center" wrapText="1"/>
    </xf>
    <xf numFmtId="164" fontId="0" fillId="4" borderId="1" xfId="0" applyNumberFormat="1" applyFill="1" applyBorder="1" applyAlignment="1">
      <alignment horizontal="center" vertical="center" wrapText="1"/>
    </xf>
    <xf numFmtId="165" fontId="0" fillId="4" borderId="1" xfId="0" applyNumberFormat="1" applyFill="1" applyBorder="1" applyAlignment="1">
      <alignment horizontal="center" vertical="center" wrapText="1"/>
    </xf>
    <xf numFmtId="2" fontId="2" fillId="5" borderId="1" xfId="0"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2" fontId="0" fillId="5" borderId="1" xfId="0" applyNumberFormat="1" applyFill="1" applyBorder="1" applyAlignment="1">
      <alignment horizontal="center" vertical="center" wrapText="1"/>
    </xf>
    <xf numFmtId="2"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wrapText="1"/>
    </xf>
    <xf numFmtId="0" fontId="0" fillId="0" borderId="0" xfId="0" applyAlignment="1">
      <alignment vertical="top" wrapText="1"/>
    </xf>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4" borderId="1" xfId="0" applyFill="1" applyBorder="1" applyAlignment="1">
      <alignment vertical="top" wrapText="1"/>
    </xf>
    <xf numFmtId="0" fontId="2" fillId="0" borderId="1" xfId="0" applyFont="1" applyBorder="1" applyAlignment="1">
      <alignment vertical="top" wrapText="1"/>
    </xf>
    <xf numFmtId="2" fontId="0" fillId="4" borderId="1" xfId="0" applyNumberFormat="1" applyFill="1" applyBorder="1" applyAlignment="1">
      <alignment vertical="top" wrapText="1"/>
    </xf>
    <xf numFmtId="0" fontId="0" fillId="5" borderId="1" xfId="0" applyFill="1" applyBorder="1" applyAlignment="1">
      <alignment vertical="top" wrapText="1"/>
    </xf>
    <xf numFmtId="0" fontId="2" fillId="5" borderId="1" xfId="0" applyFont="1" applyFill="1" applyBorder="1" applyAlignment="1">
      <alignment vertical="top" wrapText="1"/>
    </xf>
    <xf numFmtId="9" fontId="0" fillId="4" borderId="1" xfId="0" applyNumberFormat="1"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2">
    <dxf>
      <fill>
        <patternFill patternType="solid">
          <fgColor rgb="FFF8CBAD"/>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4.4" x14ac:dyDescent="0.55000000000000004"/>
  <cols>
    <col min="1" max="1" width="26" customWidth="1"/>
    <col min="2" max="2" width="110" customWidth="1"/>
  </cols>
  <sheetData>
    <row r="1" spans="1:2" ht="18.3" x14ac:dyDescent="0.7">
      <c r="A1" s="1" t="s">
        <v>0</v>
      </c>
    </row>
    <row r="2" spans="1:2" x14ac:dyDescent="0.55000000000000004">
      <c r="A2" t="s">
        <v>1</v>
      </c>
    </row>
    <row r="4" spans="1:2" ht="45" customHeight="1" x14ac:dyDescent="0.55000000000000004">
      <c r="A4" s="2" t="s">
        <v>2</v>
      </c>
      <c r="B4" s="3" t="s">
        <v>3</v>
      </c>
    </row>
    <row r="5" spans="1:2" ht="75" customHeight="1" x14ac:dyDescent="0.55000000000000004">
      <c r="A5" s="2" t="s">
        <v>4</v>
      </c>
      <c r="B5" s="3" t="s">
        <v>5</v>
      </c>
    </row>
    <row r="6" spans="1:2" ht="105" customHeight="1" x14ac:dyDescent="0.55000000000000004">
      <c r="A6" s="2" t="s">
        <v>6</v>
      </c>
      <c r="B6" s="3" t="s">
        <v>7</v>
      </c>
    </row>
    <row r="7" spans="1:2" ht="30" customHeight="1" x14ac:dyDescent="0.55000000000000004">
      <c r="A7" s="2" t="s">
        <v>8</v>
      </c>
      <c r="B7" s="3" t="s">
        <v>9</v>
      </c>
    </row>
    <row r="8" spans="1:2" ht="45" customHeight="1" x14ac:dyDescent="0.55000000000000004">
      <c r="A8" s="2" t="s">
        <v>10</v>
      </c>
      <c r="B8" s="3" t="s">
        <v>11</v>
      </c>
    </row>
    <row r="9" spans="1:2" ht="45" customHeight="1" x14ac:dyDescent="0.55000000000000004">
      <c r="A9" s="2" t="s">
        <v>12</v>
      </c>
      <c r="B9" s="3"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pane ySplit="4" topLeftCell="A5" activePane="bottomLeft" state="frozen"/>
      <selection pane="bottomLeft"/>
    </sheetView>
  </sheetViews>
  <sheetFormatPr defaultRowHeight="14.4" x14ac:dyDescent="0.55000000000000004"/>
  <cols>
    <col min="1" max="1" width="6" customWidth="1"/>
    <col min="2" max="2" width="26" customWidth="1"/>
    <col min="3" max="3" width="38" customWidth="1"/>
    <col min="4" max="4" width="9" customWidth="1"/>
    <col min="5" max="5" width="11" customWidth="1"/>
    <col min="6" max="6" width="60" customWidth="1"/>
    <col min="7" max="7" width="55" customWidth="1"/>
  </cols>
  <sheetData>
    <row r="1" spans="1:7" ht="18.3" x14ac:dyDescent="0.7">
      <c r="A1" s="1" t="s">
        <v>14</v>
      </c>
    </row>
    <row r="2" spans="1:7" ht="32.049999999999997" customHeight="1" x14ac:dyDescent="0.55000000000000004">
      <c r="A2" s="27" t="s">
        <v>15</v>
      </c>
      <c r="B2" s="28"/>
      <c r="C2" s="28"/>
      <c r="D2" s="28"/>
      <c r="E2" s="28"/>
      <c r="F2" s="28"/>
      <c r="G2" s="28"/>
    </row>
    <row r="4" spans="1:7" x14ac:dyDescent="0.55000000000000004">
      <c r="A4" s="4" t="s">
        <v>16</v>
      </c>
      <c r="B4" s="4" t="s">
        <v>17</v>
      </c>
      <c r="C4" s="4" t="s">
        <v>18</v>
      </c>
      <c r="D4" s="4" t="s">
        <v>19</v>
      </c>
      <c r="E4" s="4" t="s">
        <v>20</v>
      </c>
      <c r="F4" s="4" t="s">
        <v>21</v>
      </c>
      <c r="G4" s="4" t="s">
        <v>22</v>
      </c>
    </row>
    <row r="5" spans="1:7" ht="90" customHeight="1" x14ac:dyDescent="0.55000000000000004">
      <c r="A5" s="5" t="s">
        <v>23</v>
      </c>
      <c r="B5" s="6" t="s">
        <v>24</v>
      </c>
      <c r="C5" s="6" t="s">
        <v>25</v>
      </c>
      <c r="D5" s="7">
        <v>0.15</v>
      </c>
      <c r="E5" s="8" t="s">
        <v>26</v>
      </c>
      <c r="F5" s="6" t="s">
        <v>27</v>
      </c>
      <c r="G5" s="6" t="s">
        <v>28</v>
      </c>
    </row>
    <row r="6" spans="1:7" ht="90" customHeight="1" x14ac:dyDescent="0.55000000000000004">
      <c r="A6" s="5" t="s">
        <v>29</v>
      </c>
      <c r="B6" s="6" t="s">
        <v>30</v>
      </c>
      <c r="C6" s="6" t="s">
        <v>31</v>
      </c>
      <c r="D6" s="7">
        <v>0.2</v>
      </c>
      <c r="E6" s="8" t="s">
        <v>26</v>
      </c>
      <c r="F6" s="6" t="s">
        <v>32</v>
      </c>
      <c r="G6" s="6" t="s">
        <v>33</v>
      </c>
    </row>
    <row r="7" spans="1:7" ht="90" customHeight="1" x14ac:dyDescent="0.55000000000000004">
      <c r="A7" s="5" t="s">
        <v>34</v>
      </c>
      <c r="B7" s="6" t="s">
        <v>35</v>
      </c>
      <c r="C7" s="6" t="s">
        <v>36</v>
      </c>
      <c r="D7" s="7">
        <v>0.15</v>
      </c>
      <c r="E7" s="8" t="s">
        <v>37</v>
      </c>
      <c r="F7" s="6" t="s">
        <v>38</v>
      </c>
      <c r="G7" s="6" t="s">
        <v>39</v>
      </c>
    </row>
    <row r="8" spans="1:7" ht="90" customHeight="1" x14ac:dyDescent="0.55000000000000004">
      <c r="A8" s="5" t="s">
        <v>40</v>
      </c>
      <c r="B8" s="6" t="s">
        <v>41</v>
      </c>
      <c r="C8" s="6" t="s">
        <v>42</v>
      </c>
      <c r="D8" s="7">
        <v>0.1</v>
      </c>
      <c r="E8" s="8" t="s">
        <v>37</v>
      </c>
      <c r="F8" s="6" t="s">
        <v>43</v>
      </c>
      <c r="G8" s="6" t="s">
        <v>44</v>
      </c>
    </row>
    <row r="9" spans="1:7" ht="90" customHeight="1" x14ac:dyDescent="0.55000000000000004">
      <c r="A9" s="5" t="s">
        <v>45</v>
      </c>
      <c r="B9" s="6" t="s">
        <v>46</v>
      </c>
      <c r="C9" s="6" t="s">
        <v>47</v>
      </c>
      <c r="D9" s="7">
        <v>0.15</v>
      </c>
      <c r="E9" s="8" t="s">
        <v>37</v>
      </c>
      <c r="F9" s="6" t="s">
        <v>48</v>
      </c>
      <c r="G9" s="6" t="s">
        <v>49</v>
      </c>
    </row>
    <row r="10" spans="1:7" ht="90" customHeight="1" x14ac:dyDescent="0.55000000000000004">
      <c r="A10" s="5" t="s">
        <v>50</v>
      </c>
      <c r="B10" s="6" t="s">
        <v>51</v>
      </c>
      <c r="C10" s="6" t="s">
        <v>52</v>
      </c>
      <c r="D10" s="7">
        <v>0.1</v>
      </c>
      <c r="E10" s="8" t="s">
        <v>37</v>
      </c>
      <c r="F10" s="6" t="s">
        <v>53</v>
      </c>
      <c r="G10" s="6" t="s">
        <v>54</v>
      </c>
    </row>
    <row r="11" spans="1:7" ht="90" customHeight="1" x14ac:dyDescent="0.55000000000000004">
      <c r="A11" s="5" t="s">
        <v>55</v>
      </c>
      <c r="B11" s="6" t="s">
        <v>56</v>
      </c>
      <c r="C11" s="6" t="s">
        <v>57</v>
      </c>
      <c r="D11" s="7">
        <v>0.15</v>
      </c>
      <c r="E11" s="8" t="s">
        <v>26</v>
      </c>
      <c r="F11" s="6" t="s">
        <v>58</v>
      </c>
      <c r="G11" s="6" t="s">
        <v>59</v>
      </c>
    </row>
    <row r="12" spans="1:7" x14ac:dyDescent="0.55000000000000004">
      <c r="C12" s="2" t="s">
        <v>60</v>
      </c>
      <c r="D12" s="9">
        <f>SUM(D5:D11)</f>
        <v>1</v>
      </c>
      <c r="E12" s="10" t="str">
        <f>IF(ROUND(D12,4)=1,"OK","ERROR: los pesos no suman 100 %")</f>
        <v>OK</v>
      </c>
    </row>
  </sheetData>
  <mergeCells count="1">
    <mergeCell ref="A2:G2"/>
  </mergeCells>
  <dataValidations count="1">
    <dataValidation type="list" sqref="E5:E11" xr:uid="{00000000-0002-0000-0100-000000000000}">
      <formula1>"Sí,No"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7"/>
  <sheetViews>
    <sheetView workbookViewId="0">
      <pane ySplit="14" topLeftCell="A15" activePane="bottomLeft" state="frozen"/>
      <selection pane="bottomLeft"/>
    </sheetView>
  </sheetViews>
  <sheetFormatPr defaultRowHeight="14.4" x14ac:dyDescent="0.55000000000000004"/>
  <cols>
    <col min="1" max="1" width="30" customWidth="1"/>
    <col min="2" max="2" width="8" customWidth="1"/>
    <col min="3" max="3" width="24" customWidth="1"/>
    <col min="4" max="4" width="55" customWidth="1"/>
    <col min="5" max="8" width="8" customWidth="1"/>
    <col min="9" max="9" width="60" customWidth="1"/>
  </cols>
  <sheetData>
    <row r="1" spans="1:9" ht="18.3" x14ac:dyDescent="0.7">
      <c r="A1" s="1" t="s">
        <v>61</v>
      </c>
    </row>
    <row r="3" spans="1:9" x14ac:dyDescent="0.55000000000000004">
      <c r="A3" s="11" t="s">
        <v>62</v>
      </c>
    </row>
    <row r="4" spans="1:9" ht="28.8" x14ac:dyDescent="0.55000000000000004">
      <c r="A4" s="4" t="s">
        <v>63</v>
      </c>
      <c r="B4" s="4" t="s">
        <v>64</v>
      </c>
      <c r="C4" s="4" t="s">
        <v>65</v>
      </c>
    </row>
    <row r="5" spans="1:9" ht="28.8" x14ac:dyDescent="0.55000000000000004">
      <c r="A5" s="5">
        <v>0</v>
      </c>
      <c r="B5" s="5" t="s">
        <v>66</v>
      </c>
      <c r="C5" s="29" t="s">
        <v>67</v>
      </c>
      <c r="D5" s="30"/>
      <c r="E5" s="30"/>
      <c r="F5" s="30"/>
      <c r="G5" s="30"/>
      <c r="H5" s="30"/>
      <c r="I5" s="31"/>
    </row>
    <row r="6" spans="1:9" ht="28.8" x14ac:dyDescent="0.55000000000000004">
      <c r="A6" s="5">
        <v>1</v>
      </c>
      <c r="B6" s="5" t="s">
        <v>68</v>
      </c>
      <c r="C6" s="29" t="s">
        <v>69</v>
      </c>
      <c r="D6" s="30"/>
      <c r="E6" s="30"/>
      <c r="F6" s="30"/>
      <c r="G6" s="30"/>
      <c r="H6" s="30"/>
      <c r="I6" s="31"/>
    </row>
    <row r="7" spans="1:9" x14ac:dyDescent="0.55000000000000004">
      <c r="A7" s="5">
        <v>2</v>
      </c>
      <c r="B7" s="5" t="s">
        <v>70</v>
      </c>
      <c r="C7" s="29" t="s">
        <v>71</v>
      </c>
      <c r="D7" s="30"/>
      <c r="E7" s="30"/>
      <c r="F7" s="30"/>
      <c r="G7" s="30"/>
      <c r="H7" s="30"/>
      <c r="I7" s="31"/>
    </row>
    <row r="8" spans="1:9" x14ac:dyDescent="0.55000000000000004">
      <c r="A8" s="5">
        <v>3</v>
      </c>
      <c r="B8" s="5" t="s">
        <v>72</v>
      </c>
      <c r="C8" s="29" t="s">
        <v>73</v>
      </c>
      <c r="D8" s="30"/>
      <c r="E8" s="30"/>
      <c r="F8" s="30"/>
      <c r="G8" s="30"/>
      <c r="H8" s="30"/>
      <c r="I8" s="31"/>
    </row>
    <row r="9" spans="1:9" x14ac:dyDescent="0.55000000000000004">
      <c r="A9" s="5">
        <v>4</v>
      </c>
      <c r="B9" s="5" t="s">
        <v>74</v>
      </c>
      <c r="C9" s="29" t="s">
        <v>75</v>
      </c>
      <c r="D9" s="30"/>
      <c r="E9" s="30"/>
      <c r="F9" s="30"/>
      <c r="G9" s="30"/>
      <c r="H9" s="30"/>
      <c r="I9" s="31"/>
    </row>
    <row r="10" spans="1:9" x14ac:dyDescent="0.55000000000000004">
      <c r="A10" s="5">
        <v>5</v>
      </c>
      <c r="B10" s="5" t="s">
        <v>76</v>
      </c>
      <c r="C10" s="29" t="s">
        <v>77</v>
      </c>
      <c r="D10" s="30"/>
      <c r="E10" s="30"/>
      <c r="F10" s="30"/>
      <c r="G10" s="30"/>
      <c r="H10" s="30"/>
      <c r="I10" s="31"/>
    </row>
    <row r="11" spans="1:9" x14ac:dyDescent="0.55000000000000004">
      <c r="A11" s="12" t="s">
        <v>78</v>
      </c>
    </row>
    <row r="13" spans="1:9" x14ac:dyDescent="0.55000000000000004">
      <c r="A13" s="11" t="s">
        <v>79</v>
      </c>
    </row>
    <row r="14" spans="1:9" x14ac:dyDescent="0.55000000000000004">
      <c r="A14" s="4" t="s">
        <v>80</v>
      </c>
      <c r="B14" s="4" t="s">
        <v>17</v>
      </c>
      <c r="C14" s="4" t="s">
        <v>81</v>
      </c>
      <c r="D14" s="4" t="s">
        <v>82</v>
      </c>
      <c r="E14" s="4" t="s">
        <v>83</v>
      </c>
      <c r="F14" s="4" t="s">
        <v>84</v>
      </c>
      <c r="G14" s="4" t="s">
        <v>85</v>
      </c>
      <c r="H14" s="4" t="s">
        <v>86</v>
      </c>
      <c r="I14" s="4" t="s">
        <v>87</v>
      </c>
    </row>
    <row r="15" spans="1:9" ht="48" customHeight="1" x14ac:dyDescent="0.55000000000000004">
      <c r="A15" s="13" t="str">
        <f t="shared" ref="A15:A37" si="0">B15&amp;"|"&amp;C15</f>
        <v>C1|1 a 3 equipos</v>
      </c>
      <c r="B15" s="5" t="s">
        <v>23</v>
      </c>
      <c r="C15" s="6" t="s">
        <v>88</v>
      </c>
      <c r="D15" s="6" t="s">
        <v>89</v>
      </c>
      <c r="E15" s="8">
        <v>3</v>
      </c>
      <c r="F15" s="8">
        <v>4</v>
      </c>
      <c r="G15" s="8">
        <v>1</v>
      </c>
      <c r="H15" s="8">
        <v>5</v>
      </c>
      <c r="I15" s="6" t="s">
        <v>90</v>
      </c>
    </row>
    <row r="16" spans="1:9" ht="48" customHeight="1" x14ac:dyDescent="0.55000000000000004">
      <c r="A16" s="13" t="str">
        <f t="shared" si="0"/>
        <v>C1|4 a 9 equipos</v>
      </c>
      <c r="B16" s="5" t="s">
        <v>23</v>
      </c>
      <c r="C16" s="6" t="s">
        <v>91</v>
      </c>
      <c r="D16" s="6" t="s">
        <v>92</v>
      </c>
      <c r="E16" s="8">
        <v>5</v>
      </c>
      <c r="F16" s="8">
        <v>5</v>
      </c>
      <c r="G16" s="8">
        <v>3</v>
      </c>
      <c r="H16" s="8">
        <v>4</v>
      </c>
      <c r="I16" s="6" t="s">
        <v>93</v>
      </c>
    </row>
    <row r="17" spans="1:9" ht="48" customHeight="1" x14ac:dyDescent="0.55000000000000004">
      <c r="A17" s="13" t="str">
        <f t="shared" si="0"/>
        <v>C1|10 a 15 equipos</v>
      </c>
      <c r="B17" s="5" t="s">
        <v>23</v>
      </c>
      <c r="C17" s="6" t="s">
        <v>94</v>
      </c>
      <c r="D17" s="6" t="s">
        <v>95</v>
      </c>
      <c r="E17" s="8">
        <v>3</v>
      </c>
      <c r="F17" s="8">
        <v>4</v>
      </c>
      <c r="G17" s="8">
        <v>4</v>
      </c>
      <c r="H17" s="8">
        <v>4</v>
      </c>
      <c r="I17" s="6" t="s">
        <v>96</v>
      </c>
    </row>
    <row r="18" spans="1:9" ht="48" customHeight="1" x14ac:dyDescent="0.55000000000000004">
      <c r="A18" s="13" t="str">
        <f t="shared" si="0"/>
        <v>C1|16 a 50 equipos</v>
      </c>
      <c r="B18" s="5" t="s">
        <v>23</v>
      </c>
      <c r="C18" s="6" t="s">
        <v>97</v>
      </c>
      <c r="D18" s="6" t="s">
        <v>98</v>
      </c>
      <c r="E18" s="8">
        <v>1</v>
      </c>
      <c r="F18" s="8">
        <v>3</v>
      </c>
      <c r="G18" s="8">
        <v>5</v>
      </c>
      <c r="H18" s="8">
        <v>3</v>
      </c>
      <c r="I18" s="6" t="s">
        <v>99</v>
      </c>
    </row>
    <row r="19" spans="1:9" ht="48" customHeight="1" x14ac:dyDescent="0.55000000000000004">
      <c r="A19" s="13" t="str">
        <f t="shared" si="0"/>
        <v>C1|Más de 50 equipos</v>
      </c>
      <c r="B19" s="5" t="s">
        <v>23</v>
      </c>
      <c r="C19" s="6" t="s">
        <v>100</v>
      </c>
      <c r="D19" s="6" t="s">
        <v>101</v>
      </c>
      <c r="E19" s="8">
        <v>0</v>
      </c>
      <c r="F19" s="8">
        <v>2</v>
      </c>
      <c r="G19" s="8">
        <v>5</v>
      </c>
      <c r="H19" s="8">
        <v>3</v>
      </c>
      <c r="I19" s="6" t="s">
        <v>102</v>
      </c>
    </row>
    <row r="20" spans="1:9" ht="48" customHeight="1" x14ac:dyDescent="0.55000000000000004">
      <c r="A20" s="13" t="str">
        <f t="shared" si="0"/>
        <v>C2|Un solo producto</v>
      </c>
      <c r="B20" s="5" t="s">
        <v>29</v>
      </c>
      <c r="C20" s="6" t="s">
        <v>103</v>
      </c>
      <c r="D20" s="6" t="s">
        <v>104</v>
      </c>
      <c r="E20" s="8">
        <v>5</v>
      </c>
      <c r="F20" s="8">
        <v>5</v>
      </c>
      <c r="G20" s="8">
        <v>3</v>
      </c>
      <c r="H20" s="8">
        <v>3</v>
      </c>
      <c r="I20" s="6" t="s">
        <v>105</v>
      </c>
    </row>
    <row r="21" spans="1:9" ht="48" customHeight="1" x14ac:dyDescent="0.55000000000000004">
      <c r="A21" s="13" t="str">
        <f t="shared" si="0"/>
        <v>C2|Varias soluciones interdependientes</v>
      </c>
      <c r="B21" s="5" t="s">
        <v>29</v>
      </c>
      <c r="C21" s="6" t="s">
        <v>106</v>
      </c>
      <c r="D21" s="6" t="s">
        <v>107</v>
      </c>
      <c r="E21" s="8">
        <v>1</v>
      </c>
      <c r="F21" s="8">
        <v>2</v>
      </c>
      <c r="G21" s="8">
        <v>5</v>
      </c>
      <c r="H21" s="8">
        <v>3</v>
      </c>
      <c r="I21" s="6" t="s">
        <v>108</v>
      </c>
    </row>
    <row r="22" spans="1:9" ht="48" customHeight="1" x14ac:dyDescent="0.55000000000000004">
      <c r="A22" s="13" t="str">
        <f t="shared" si="0"/>
        <v>C2|Productos o proyectos independientes</v>
      </c>
      <c r="B22" s="5" t="s">
        <v>29</v>
      </c>
      <c r="C22" s="6" t="s">
        <v>109</v>
      </c>
      <c r="D22" s="6" t="s">
        <v>110</v>
      </c>
      <c r="E22" s="8">
        <v>0</v>
      </c>
      <c r="F22" s="8">
        <v>0</v>
      </c>
      <c r="G22" s="8">
        <v>2</v>
      </c>
      <c r="H22" s="8">
        <v>5</v>
      </c>
      <c r="I22" s="6" t="s">
        <v>111</v>
      </c>
    </row>
    <row r="23" spans="1:9" ht="48" customHeight="1" x14ac:dyDescent="0.55000000000000004">
      <c r="A23" s="13" t="str">
        <f t="shared" si="0"/>
        <v>C3|Bajas</v>
      </c>
      <c r="B23" s="5" t="s">
        <v>34</v>
      </c>
      <c r="C23" s="6" t="s">
        <v>112</v>
      </c>
      <c r="D23" s="6" t="s">
        <v>113</v>
      </c>
      <c r="E23" s="8">
        <v>3</v>
      </c>
      <c r="F23" s="8">
        <v>4</v>
      </c>
      <c r="G23" s="8">
        <v>2</v>
      </c>
      <c r="H23" s="8">
        <v>5</v>
      </c>
      <c r="I23" s="6" t="s">
        <v>114</v>
      </c>
    </row>
    <row r="24" spans="1:9" ht="48" customHeight="1" x14ac:dyDescent="0.55000000000000004">
      <c r="A24" s="13" t="str">
        <f t="shared" si="0"/>
        <v>C3|Medias</v>
      </c>
      <c r="B24" s="5" t="s">
        <v>34</v>
      </c>
      <c r="C24" s="6" t="s">
        <v>115</v>
      </c>
      <c r="D24" s="6" t="s">
        <v>116</v>
      </c>
      <c r="E24" s="8">
        <v>5</v>
      </c>
      <c r="F24" s="8">
        <v>4</v>
      </c>
      <c r="G24" s="8">
        <v>4</v>
      </c>
      <c r="H24" s="8">
        <v>4</v>
      </c>
      <c r="I24" s="6" t="s">
        <v>117</v>
      </c>
    </row>
    <row r="25" spans="1:9" ht="48" customHeight="1" x14ac:dyDescent="0.55000000000000004">
      <c r="A25" s="13" t="str">
        <f t="shared" si="0"/>
        <v>C3|Altas</v>
      </c>
      <c r="B25" s="5" t="s">
        <v>34</v>
      </c>
      <c r="C25" s="6" t="s">
        <v>118</v>
      </c>
      <c r="D25" s="6" t="s">
        <v>119</v>
      </c>
      <c r="E25" s="8">
        <v>2</v>
      </c>
      <c r="F25" s="8">
        <v>2</v>
      </c>
      <c r="G25" s="8">
        <v>5</v>
      </c>
      <c r="H25" s="8">
        <v>3</v>
      </c>
      <c r="I25" s="6" t="s">
        <v>120</v>
      </c>
    </row>
    <row r="26" spans="1:9" ht="48" customHeight="1" x14ac:dyDescent="0.55000000000000004">
      <c r="A26" s="13" t="str">
        <f t="shared" si="0"/>
        <v>C4|Ligera</v>
      </c>
      <c r="B26" s="5" t="s">
        <v>40</v>
      </c>
      <c r="C26" s="6" t="s">
        <v>121</v>
      </c>
      <c r="D26" s="6" t="s">
        <v>122</v>
      </c>
      <c r="E26" s="8">
        <v>4</v>
      </c>
      <c r="F26" s="8">
        <v>5</v>
      </c>
      <c r="G26" s="8">
        <v>2</v>
      </c>
      <c r="H26" s="8">
        <v>4</v>
      </c>
      <c r="I26" s="6" t="s">
        <v>123</v>
      </c>
    </row>
    <row r="27" spans="1:9" ht="48" customHeight="1" x14ac:dyDescent="0.55000000000000004">
      <c r="A27" s="13" t="str">
        <f t="shared" si="0"/>
        <v>C4|Variable por contrato o cliente</v>
      </c>
      <c r="B27" s="5" t="s">
        <v>40</v>
      </c>
      <c r="C27" s="6" t="s">
        <v>124</v>
      </c>
      <c r="D27" s="6" t="s">
        <v>125</v>
      </c>
      <c r="E27" s="8">
        <v>3</v>
      </c>
      <c r="F27" s="8">
        <v>2</v>
      </c>
      <c r="G27" s="8">
        <v>3</v>
      </c>
      <c r="H27" s="8">
        <v>5</v>
      </c>
      <c r="I27" s="6" t="s">
        <v>126</v>
      </c>
    </row>
    <row r="28" spans="1:9" ht="48" customHeight="1" x14ac:dyDescent="0.55000000000000004">
      <c r="A28" s="13" t="str">
        <f t="shared" si="0"/>
        <v>C4|Regulatoria formal</v>
      </c>
      <c r="B28" s="5" t="s">
        <v>40</v>
      </c>
      <c r="C28" s="6" t="s">
        <v>127</v>
      </c>
      <c r="D28" s="6" t="s">
        <v>128</v>
      </c>
      <c r="E28" s="8">
        <v>2</v>
      </c>
      <c r="F28" s="8">
        <v>1</v>
      </c>
      <c r="G28" s="8">
        <v>5</v>
      </c>
      <c r="H28" s="8">
        <v>4</v>
      </c>
      <c r="I28" s="6" t="s">
        <v>129</v>
      </c>
    </row>
    <row r="29" spans="1:9" ht="48" customHeight="1" x14ac:dyDescent="0.55000000000000004">
      <c r="A29" s="13" t="str">
        <f t="shared" si="0"/>
        <v>C5|Bajo</v>
      </c>
      <c r="B29" s="5" t="s">
        <v>45</v>
      </c>
      <c r="C29" s="6" t="s">
        <v>130</v>
      </c>
      <c r="D29" s="6" t="s">
        <v>131</v>
      </c>
      <c r="E29" s="8">
        <v>4</v>
      </c>
      <c r="F29" s="8">
        <v>4</v>
      </c>
      <c r="G29" s="8">
        <v>1</v>
      </c>
      <c r="H29" s="8">
        <v>4</v>
      </c>
      <c r="I29" s="6" t="s">
        <v>132</v>
      </c>
    </row>
    <row r="30" spans="1:9" ht="48" customHeight="1" x14ac:dyDescent="0.55000000000000004">
      <c r="A30" s="13" t="str">
        <f t="shared" si="0"/>
        <v>C5|Medio</v>
      </c>
      <c r="B30" s="5" t="s">
        <v>45</v>
      </c>
      <c r="C30" s="6" t="s">
        <v>133</v>
      </c>
      <c r="D30" s="6" t="s">
        <v>134</v>
      </c>
      <c r="E30" s="8">
        <v>4</v>
      </c>
      <c r="F30" s="8">
        <v>4</v>
      </c>
      <c r="G30" s="8">
        <v>3</v>
      </c>
      <c r="H30" s="8">
        <v>4</v>
      </c>
      <c r="I30" s="6" t="s">
        <v>135</v>
      </c>
    </row>
    <row r="31" spans="1:9" ht="48" customHeight="1" x14ac:dyDescent="0.55000000000000004">
      <c r="A31" s="13" t="str">
        <f t="shared" si="0"/>
        <v>C5|Alto</v>
      </c>
      <c r="B31" s="5" t="s">
        <v>45</v>
      </c>
      <c r="C31" s="6" t="s">
        <v>136</v>
      </c>
      <c r="D31" s="6" t="s">
        <v>137</v>
      </c>
      <c r="E31" s="8">
        <v>1</v>
      </c>
      <c r="F31" s="8">
        <v>1</v>
      </c>
      <c r="G31" s="8">
        <v>5</v>
      </c>
      <c r="H31" s="8">
        <v>3</v>
      </c>
      <c r="I31" s="6" t="s">
        <v>138</v>
      </c>
    </row>
    <row r="32" spans="1:9" ht="48" customHeight="1" x14ac:dyDescent="0.55000000000000004">
      <c r="A32" s="13" t="str">
        <f t="shared" si="0"/>
        <v>C6|Baja</v>
      </c>
      <c r="B32" s="5" t="s">
        <v>50</v>
      </c>
      <c r="C32" s="6" t="s">
        <v>70</v>
      </c>
      <c r="D32" s="6" t="s">
        <v>139</v>
      </c>
      <c r="E32" s="8">
        <v>4</v>
      </c>
      <c r="F32" s="8">
        <v>4</v>
      </c>
      <c r="G32" s="8">
        <v>5</v>
      </c>
      <c r="H32" s="8">
        <v>3</v>
      </c>
      <c r="I32" s="6" t="s">
        <v>140</v>
      </c>
    </row>
    <row r="33" spans="1:9" ht="48" customHeight="1" x14ac:dyDescent="0.55000000000000004">
      <c r="A33" s="13" t="str">
        <f t="shared" si="0"/>
        <v>C6|Media</v>
      </c>
      <c r="B33" s="5" t="s">
        <v>50</v>
      </c>
      <c r="C33" s="6" t="s">
        <v>72</v>
      </c>
      <c r="D33" s="6" t="s">
        <v>141</v>
      </c>
      <c r="E33" s="8">
        <v>4</v>
      </c>
      <c r="F33" s="8">
        <v>4</v>
      </c>
      <c r="G33" s="8">
        <v>4</v>
      </c>
      <c r="H33" s="8">
        <v>4</v>
      </c>
      <c r="I33" s="6" t="s">
        <v>142</v>
      </c>
    </row>
    <row r="34" spans="1:9" ht="48" customHeight="1" x14ac:dyDescent="0.55000000000000004">
      <c r="A34" s="13" t="str">
        <f t="shared" si="0"/>
        <v>C6|Alta</v>
      </c>
      <c r="B34" s="5" t="s">
        <v>50</v>
      </c>
      <c r="C34" s="6" t="s">
        <v>74</v>
      </c>
      <c r="D34" s="6" t="s">
        <v>143</v>
      </c>
      <c r="E34" s="8">
        <v>1</v>
      </c>
      <c r="F34" s="8">
        <v>2</v>
      </c>
      <c r="G34" s="8">
        <v>1</v>
      </c>
      <c r="H34" s="8">
        <v>5</v>
      </c>
      <c r="I34" s="6" t="s">
        <v>144</v>
      </c>
    </row>
    <row r="35" spans="1:9" ht="48" customHeight="1" x14ac:dyDescent="0.55000000000000004">
      <c r="A35" s="13" t="str">
        <f t="shared" si="0"/>
        <v>C7|Baja</v>
      </c>
      <c r="B35" s="5" t="s">
        <v>55</v>
      </c>
      <c r="C35" s="6" t="s">
        <v>70</v>
      </c>
      <c r="D35" s="6" t="s">
        <v>145</v>
      </c>
      <c r="E35" s="8">
        <v>5</v>
      </c>
      <c r="F35" s="8">
        <v>5</v>
      </c>
      <c r="G35" s="8">
        <v>4</v>
      </c>
      <c r="H35" s="8">
        <v>3</v>
      </c>
      <c r="I35" s="6" t="s">
        <v>146</v>
      </c>
    </row>
    <row r="36" spans="1:9" ht="48" customHeight="1" x14ac:dyDescent="0.55000000000000004">
      <c r="A36" s="13" t="str">
        <f t="shared" si="0"/>
        <v>C7|Media</v>
      </c>
      <c r="B36" s="5" t="s">
        <v>55</v>
      </c>
      <c r="C36" s="6" t="s">
        <v>72</v>
      </c>
      <c r="D36" s="6" t="s">
        <v>147</v>
      </c>
      <c r="E36" s="8">
        <v>3</v>
      </c>
      <c r="F36" s="8">
        <v>3</v>
      </c>
      <c r="G36" s="8">
        <v>4</v>
      </c>
      <c r="H36" s="8">
        <v>4</v>
      </c>
      <c r="I36" s="6" t="s">
        <v>148</v>
      </c>
    </row>
    <row r="37" spans="1:9" ht="48" customHeight="1" x14ac:dyDescent="0.55000000000000004">
      <c r="A37" s="13" t="str">
        <f t="shared" si="0"/>
        <v>C7|Alta</v>
      </c>
      <c r="B37" s="5" t="s">
        <v>55</v>
      </c>
      <c r="C37" s="6" t="s">
        <v>74</v>
      </c>
      <c r="D37" s="6" t="s">
        <v>149</v>
      </c>
      <c r="E37" s="8">
        <v>0</v>
      </c>
      <c r="F37" s="8">
        <v>1</v>
      </c>
      <c r="G37" s="8">
        <v>2</v>
      </c>
      <c r="H37" s="8">
        <v>5</v>
      </c>
      <c r="I37" s="6" t="s">
        <v>150</v>
      </c>
    </row>
  </sheetData>
  <mergeCells count="6">
    <mergeCell ref="C5:I5"/>
    <mergeCell ref="C9:I9"/>
    <mergeCell ref="C8:I8"/>
    <mergeCell ref="C6:I6"/>
    <mergeCell ref="C7:I7"/>
    <mergeCell ref="C10:I10"/>
  </mergeCells>
  <dataValidations count="1">
    <dataValidation type="whole" sqref="E15:H37" xr:uid="{00000000-0002-0000-0200-000000000000}">
      <formula1>0</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defaultRowHeight="14.4" x14ac:dyDescent="0.55000000000000004"/>
  <cols>
    <col min="1" max="1" width="30" customWidth="1"/>
    <col min="2" max="2" width="18" customWidth="1"/>
    <col min="3" max="3" width="110" customWidth="1"/>
  </cols>
  <sheetData>
    <row r="1" spans="1:3" ht="18.3" x14ac:dyDescent="0.7">
      <c r="A1" s="1" t="s">
        <v>151</v>
      </c>
    </row>
    <row r="3" spans="1:3" x14ac:dyDescent="0.55000000000000004">
      <c r="A3" s="4" t="s">
        <v>152</v>
      </c>
      <c r="B3" s="4" t="s">
        <v>153</v>
      </c>
      <c r="C3" s="4" t="s">
        <v>154</v>
      </c>
    </row>
    <row r="4" spans="1:3" ht="32.049999999999997" customHeight="1" x14ac:dyDescent="0.55000000000000004">
      <c r="A4" s="14" t="s">
        <v>155</v>
      </c>
      <c r="B4" s="15">
        <v>0.1</v>
      </c>
      <c r="C4" s="6" t="s">
        <v>156</v>
      </c>
    </row>
    <row r="5" spans="1:3" ht="32.049999999999997" customHeight="1" x14ac:dyDescent="0.55000000000000004">
      <c r="A5" s="14" t="s">
        <v>157</v>
      </c>
      <c r="B5" s="15">
        <v>2.5</v>
      </c>
      <c r="C5" s="6" t="s">
        <v>158</v>
      </c>
    </row>
    <row r="8" spans="1:3" x14ac:dyDescent="0.55000000000000004">
      <c r="A8" s="4" t="s">
        <v>159</v>
      </c>
      <c r="B8" s="4" t="s">
        <v>160</v>
      </c>
      <c r="C8" s="4" t="s">
        <v>161</v>
      </c>
    </row>
    <row r="9" spans="1:3" ht="48" customHeight="1" x14ac:dyDescent="0.55000000000000004">
      <c r="A9" s="14" t="s">
        <v>162</v>
      </c>
      <c r="B9" s="6" t="s">
        <v>163</v>
      </c>
      <c r="C9" s="6" t="s">
        <v>164</v>
      </c>
    </row>
    <row r="10" spans="1:3" ht="48" customHeight="1" x14ac:dyDescent="0.55000000000000004">
      <c r="A10" s="14" t="s">
        <v>165</v>
      </c>
      <c r="B10" s="6" t="s">
        <v>166</v>
      </c>
      <c r="C10" s="6" t="s">
        <v>167</v>
      </c>
    </row>
    <row r="11" spans="1:3" ht="48" customHeight="1" x14ac:dyDescent="0.55000000000000004">
      <c r="A11" s="14" t="s">
        <v>168</v>
      </c>
      <c r="B11" s="6" t="s">
        <v>169</v>
      </c>
      <c r="C11" s="6" t="s">
        <v>170</v>
      </c>
    </row>
    <row r="12" spans="1:3" ht="48" customHeight="1" x14ac:dyDescent="0.55000000000000004">
      <c r="A12" s="14" t="s">
        <v>171</v>
      </c>
      <c r="B12" s="6" t="s">
        <v>169</v>
      </c>
      <c r="C12" s="6" t="s">
        <v>172</v>
      </c>
    </row>
    <row r="13" spans="1:3" ht="48" customHeight="1" x14ac:dyDescent="0.55000000000000004">
      <c r="A13" s="14" t="s">
        <v>173</v>
      </c>
      <c r="B13" s="6" t="s">
        <v>174</v>
      </c>
      <c r="C13" s="6" t="s">
        <v>175</v>
      </c>
    </row>
    <row r="14" spans="1:3" ht="48" customHeight="1" x14ac:dyDescent="0.55000000000000004">
      <c r="A14" s="14" t="s">
        <v>176</v>
      </c>
      <c r="B14" s="6" t="s">
        <v>177</v>
      </c>
      <c r="C14" s="6" t="s">
        <v>178</v>
      </c>
    </row>
    <row r="15" spans="1:3" ht="48" customHeight="1" x14ac:dyDescent="0.55000000000000004">
      <c r="A15" s="14" t="s">
        <v>179</v>
      </c>
      <c r="B15" s="6" t="s">
        <v>180</v>
      </c>
      <c r="C15" s="6" t="s">
        <v>181</v>
      </c>
    </row>
    <row r="16" spans="1:3" ht="48" customHeight="1" x14ac:dyDescent="0.55000000000000004">
      <c r="A16" s="14" t="s">
        <v>182</v>
      </c>
      <c r="B16" s="6" t="s">
        <v>163</v>
      </c>
      <c r="C16" s="6" t="s">
        <v>183</v>
      </c>
    </row>
    <row r="17" spans="1:3" ht="48" customHeight="1" x14ac:dyDescent="0.55000000000000004">
      <c r="A17" s="14" t="s">
        <v>184</v>
      </c>
      <c r="B17" s="6" t="s">
        <v>174</v>
      </c>
      <c r="C17" s="6" t="s">
        <v>185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0"/>
  <sheetViews>
    <sheetView workbookViewId="0"/>
  </sheetViews>
  <sheetFormatPr defaultRowHeight="14.4" x14ac:dyDescent="0.55000000000000004"/>
  <cols>
    <col min="1" max="1" width="20" customWidth="1"/>
    <col min="2" max="2" width="34" customWidth="1"/>
    <col min="3" max="9" width="8" customWidth="1"/>
  </cols>
  <sheetData>
    <row r="1" spans="1:9" x14ac:dyDescent="0.55000000000000004">
      <c r="A1" s="11" t="s">
        <v>186</v>
      </c>
    </row>
    <row r="2" spans="1:9" x14ac:dyDescent="0.55000000000000004">
      <c r="A2" t="s">
        <v>187</v>
      </c>
    </row>
    <row r="4" spans="1:9" x14ac:dyDescent="0.55000000000000004">
      <c r="A4" s="4" t="s">
        <v>188</v>
      </c>
      <c r="B4" s="4" t="s">
        <v>189</v>
      </c>
      <c r="C4" s="4" t="s">
        <v>23</v>
      </c>
      <c r="D4" s="4" t="s">
        <v>29</v>
      </c>
      <c r="E4" s="4" t="s">
        <v>34</v>
      </c>
      <c r="F4" s="4" t="s">
        <v>40</v>
      </c>
      <c r="G4" s="4" t="s">
        <v>45</v>
      </c>
      <c r="H4" s="4" t="s">
        <v>50</v>
      </c>
      <c r="I4" s="4" t="s">
        <v>55</v>
      </c>
    </row>
    <row r="5" spans="1:9" x14ac:dyDescent="0.55000000000000004">
      <c r="A5" s="5" t="s">
        <v>83</v>
      </c>
      <c r="B5" s="13" t="str">
        <f>A5&amp;"|"&amp;"Nexus"</f>
        <v>Nexus|Nexus</v>
      </c>
      <c r="C5" s="13">
        <f>MIN('2_Escalas_Reglas'!E15-'2_Escalas_Reglas'!E15,'2_Escalas_Reglas'!E16-'2_Escalas_Reglas'!E16,'2_Escalas_Reglas'!E17-'2_Escalas_Reglas'!E17,'2_Escalas_Reglas'!E18-'2_Escalas_Reglas'!E18,'2_Escalas_Reglas'!E19-'2_Escalas_Reglas'!E19)</f>
        <v>0</v>
      </c>
      <c r="D5" s="13">
        <f>MIN('2_Escalas_Reglas'!E20-'2_Escalas_Reglas'!E20,'2_Escalas_Reglas'!E21-'2_Escalas_Reglas'!E21,'2_Escalas_Reglas'!E22-'2_Escalas_Reglas'!E22)</f>
        <v>0</v>
      </c>
      <c r="E5" s="13">
        <f>MIN('2_Escalas_Reglas'!E23-'2_Escalas_Reglas'!E23,'2_Escalas_Reglas'!E24-'2_Escalas_Reglas'!E24,'2_Escalas_Reglas'!E25-'2_Escalas_Reglas'!E25)</f>
        <v>0</v>
      </c>
      <c r="F5" s="13">
        <f>MIN('2_Escalas_Reglas'!E26-'2_Escalas_Reglas'!E26,'2_Escalas_Reglas'!E27-'2_Escalas_Reglas'!E27,'2_Escalas_Reglas'!E28-'2_Escalas_Reglas'!E28)</f>
        <v>0</v>
      </c>
      <c r="G5" s="13">
        <f>MIN('2_Escalas_Reglas'!E29-'2_Escalas_Reglas'!E29,'2_Escalas_Reglas'!E30-'2_Escalas_Reglas'!E30,'2_Escalas_Reglas'!E31-'2_Escalas_Reglas'!E31)</f>
        <v>0</v>
      </c>
      <c r="H5" s="13">
        <f>MIN('2_Escalas_Reglas'!E32-'2_Escalas_Reglas'!E32,'2_Escalas_Reglas'!E33-'2_Escalas_Reglas'!E33,'2_Escalas_Reglas'!E34-'2_Escalas_Reglas'!E34)</f>
        <v>0</v>
      </c>
      <c r="I5" s="13">
        <f>MIN('2_Escalas_Reglas'!E35-'2_Escalas_Reglas'!E35,'2_Escalas_Reglas'!E36-'2_Escalas_Reglas'!E36,'2_Escalas_Reglas'!E37-'2_Escalas_Reglas'!E37)</f>
        <v>0</v>
      </c>
    </row>
    <row r="6" spans="1:9" x14ac:dyDescent="0.55000000000000004">
      <c r="A6" s="5" t="s">
        <v>83</v>
      </c>
      <c r="B6" s="13" t="str">
        <f>A6&amp;"|"&amp;"LeSS"</f>
        <v>Nexus|LeSS</v>
      </c>
      <c r="C6" s="13">
        <f>MIN('2_Escalas_Reglas'!E15-'2_Escalas_Reglas'!F15,'2_Escalas_Reglas'!E16-'2_Escalas_Reglas'!F16,'2_Escalas_Reglas'!E17-'2_Escalas_Reglas'!F17,'2_Escalas_Reglas'!E18-'2_Escalas_Reglas'!F18,'2_Escalas_Reglas'!E19-'2_Escalas_Reglas'!F19)</f>
        <v>-2</v>
      </c>
      <c r="D6" s="13">
        <f>MIN('2_Escalas_Reglas'!E20-'2_Escalas_Reglas'!F20,'2_Escalas_Reglas'!E21-'2_Escalas_Reglas'!F21,'2_Escalas_Reglas'!E22-'2_Escalas_Reglas'!F22)</f>
        <v>-1</v>
      </c>
      <c r="E6" s="13">
        <f>MIN('2_Escalas_Reglas'!E23-'2_Escalas_Reglas'!F23,'2_Escalas_Reglas'!E24-'2_Escalas_Reglas'!F24,'2_Escalas_Reglas'!E25-'2_Escalas_Reglas'!F25)</f>
        <v>-1</v>
      </c>
      <c r="F6" s="13">
        <f>MIN('2_Escalas_Reglas'!E26-'2_Escalas_Reglas'!F26,'2_Escalas_Reglas'!E27-'2_Escalas_Reglas'!F27,'2_Escalas_Reglas'!E28-'2_Escalas_Reglas'!F28)</f>
        <v>-1</v>
      </c>
      <c r="G6" s="13">
        <f>MIN('2_Escalas_Reglas'!E29-'2_Escalas_Reglas'!F29,'2_Escalas_Reglas'!E30-'2_Escalas_Reglas'!F30,'2_Escalas_Reglas'!E31-'2_Escalas_Reglas'!F31)</f>
        <v>0</v>
      </c>
      <c r="H6" s="13">
        <f>MIN('2_Escalas_Reglas'!E32-'2_Escalas_Reglas'!F32,'2_Escalas_Reglas'!E33-'2_Escalas_Reglas'!F33,'2_Escalas_Reglas'!E34-'2_Escalas_Reglas'!F34)</f>
        <v>-1</v>
      </c>
      <c r="I6" s="13">
        <f>MIN('2_Escalas_Reglas'!E35-'2_Escalas_Reglas'!F35,'2_Escalas_Reglas'!E36-'2_Escalas_Reglas'!F36,'2_Escalas_Reglas'!E37-'2_Escalas_Reglas'!F37)</f>
        <v>-1</v>
      </c>
    </row>
    <row r="7" spans="1:9" x14ac:dyDescent="0.55000000000000004">
      <c r="A7" s="5" t="s">
        <v>83</v>
      </c>
      <c r="B7" s="13" t="str">
        <f>A7&amp;"|"&amp;"SAFe"</f>
        <v>Nexus|SAFe</v>
      </c>
      <c r="C7" s="13">
        <f>MIN('2_Escalas_Reglas'!E15-'2_Escalas_Reglas'!G15,'2_Escalas_Reglas'!E16-'2_Escalas_Reglas'!G16,'2_Escalas_Reglas'!E17-'2_Escalas_Reglas'!G17,'2_Escalas_Reglas'!E18-'2_Escalas_Reglas'!G18,'2_Escalas_Reglas'!E19-'2_Escalas_Reglas'!G19)</f>
        <v>-5</v>
      </c>
      <c r="D7" s="13">
        <f>MIN('2_Escalas_Reglas'!E20-'2_Escalas_Reglas'!G20,'2_Escalas_Reglas'!E21-'2_Escalas_Reglas'!G21,'2_Escalas_Reglas'!E22-'2_Escalas_Reglas'!G22)</f>
        <v>-4</v>
      </c>
      <c r="E7" s="13">
        <f>MIN('2_Escalas_Reglas'!E23-'2_Escalas_Reglas'!G23,'2_Escalas_Reglas'!E24-'2_Escalas_Reglas'!G24,'2_Escalas_Reglas'!E25-'2_Escalas_Reglas'!G25)</f>
        <v>-3</v>
      </c>
      <c r="F7" s="13">
        <f>MIN('2_Escalas_Reglas'!E26-'2_Escalas_Reglas'!G26,'2_Escalas_Reglas'!E27-'2_Escalas_Reglas'!G27,'2_Escalas_Reglas'!E28-'2_Escalas_Reglas'!G28)</f>
        <v>-3</v>
      </c>
      <c r="G7" s="13">
        <f>MIN('2_Escalas_Reglas'!E29-'2_Escalas_Reglas'!G29,'2_Escalas_Reglas'!E30-'2_Escalas_Reglas'!G30,'2_Escalas_Reglas'!E31-'2_Escalas_Reglas'!G31)</f>
        <v>-4</v>
      </c>
      <c r="H7" s="13">
        <f>MIN('2_Escalas_Reglas'!E32-'2_Escalas_Reglas'!G32,'2_Escalas_Reglas'!E33-'2_Escalas_Reglas'!G33,'2_Escalas_Reglas'!E34-'2_Escalas_Reglas'!G34)</f>
        <v>-1</v>
      </c>
      <c r="I7" s="13">
        <f>MIN('2_Escalas_Reglas'!E35-'2_Escalas_Reglas'!G35,'2_Escalas_Reglas'!E36-'2_Escalas_Reglas'!G36,'2_Escalas_Reglas'!E37-'2_Escalas_Reglas'!G37)</f>
        <v>-2</v>
      </c>
    </row>
    <row r="8" spans="1:9" x14ac:dyDescent="0.55000000000000004">
      <c r="A8" s="5" t="s">
        <v>83</v>
      </c>
      <c r="B8" s="13" t="str">
        <f>A8&amp;"|"&amp;"Disciplined Agile"</f>
        <v>Nexus|Disciplined Agile</v>
      </c>
      <c r="C8" s="13">
        <f>MIN('2_Escalas_Reglas'!E15-'2_Escalas_Reglas'!H15,'2_Escalas_Reglas'!E16-'2_Escalas_Reglas'!H16,'2_Escalas_Reglas'!E17-'2_Escalas_Reglas'!H17,'2_Escalas_Reglas'!E18-'2_Escalas_Reglas'!H18,'2_Escalas_Reglas'!E19-'2_Escalas_Reglas'!H19)</f>
        <v>-3</v>
      </c>
      <c r="D8" s="13">
        <f>MIN('2_Escalas_Reglas'!E20-'2_Escalas_Reglas'!H20,'2_Escalas_Reglas'!E21-'2_Escalas_Reglas'!H21,'2_Escalas_Reglas'!E22-'2_Escalas_Reglas'!H22)</f>
        <v>-5</v>
      </c>
      <c r="E8" s="13">
        <f>MIN('2_Escalas_Reglas'!E23-'2_Escalas_Reglas'!H23,'2_Escalas_Reglas'!E24-'2_Escalas_Reglas'!H24,'2_Escalas_Reglas'!E25-'2_Escalas_Reglas'!H25)</f>
        <v>-2</v>
      </c>
      <c r="F8" s="13">
        <f>MIN('2_Escalas_Reglas'!E26-'2_Escalas_Reglas'!H26,'2_Escalas_Reglas'!E27-'2_Escalas_Reglas'!H27,'2_Escalas_Reglas'!E28-'2_Escalas_Reglas'!H28)</f>
        <v>-2</v>
      </c>
      <c r="G8" s="13">
        <f>MIN('2_Escalas_Reglas'!E29-'2_Escalas_Reglas'!H29,'2_Escalas_Reglas'!E30-'2_Escalas_Reglas'!H30,'2_Escalas_Reglas'!E31-'2_Escalas_Reglas'!H31)</f>
        <v>-2</v>
      </c>
      <c r="H8" s="13">
        <f>MIN('2_Escalas_Reglas'!E32-'2_Escalas_Reglas'!H32,'2_Escalas_Reglas'!E33-'2_Escalas_Reglas'!H33,'2_Escalas_Reglas'!E34-'2_Escalas_Reglas'!H34)</f>
        <v>-4</v>
      </c>
      <c r="I8" s="13">
        <f>MIN('2_Escalas_Reglas'!E35-'2_Escalas_Reglas'!H35,'2_Escalas_Reglas'!E36-'2_Escalas_Reglas'!H36,'2_Escalas_Reglas'!E37-'2_Escalas_Reglas'!H37)</f>
        <v>-5</v>
      </c>
    </row>
    <row r="9" spans="1:9" x14ac:dyDescent="0.55000000000000004">
      <c r="A9" s="5" t="s">
        <v>84</v>
      </c>
      <c r="B9" s="13" t="str">
        <f>A9&amp;"|"&amp;"Nexus"</f>
        <v>LeSS|Nexus</v>
      </c>
      <c r="C9" s="13">
        <f>MIN('2_Escalas_Reglas'!F15-'2_Escalas_Reglas'!E15,'2_Escalas_Reglas'!F16-'2_Escalas_Reglas'!E16,'2_Escalas_Reglas'!F17-'2_Escalas_Reglas'!E17,'2_Escalas_Reglas'!F18-'2_Escalas_Reglas'!E18,'2_Escalas_Reglas'!F19-'2_Escalas_Reglas'!E19)</f>
        <v>0</v>
      </c>
      <c r="D9" s="13">
        <f>MIN('2_Escalas_Reglas'!F20-'2_Escalas_Reglas'!E20,'2_Escalas_Reglas'!F21-'2_Escalas_Reglas'!E21,'2_Escalas_Reglas'!F22-'2_Escalas_Reglas'!E22)</f>
        <v>0</v>
      </c>
      <c r="E9" s="13">
        <f>MIN('2_Escalas_Reglas'!F23-'2_Escalas_Reglas'!E23,'2_Escalas_Reglas'!F24-'2_Escalas_Reglas'!E24,'2_Escalas_Reglas'!F25-'2_Escalas_Reglas'!E25)</f>
        <v>-1</v>
      </c>
      <c r="F9" s="13">
        <f>MIN('2_Escalas_Reglas'!F26-'2_Escalas_Reglas'!E26,'2_Escalas_Reglas'!F27-'2_Escalas_Reglas'!E27,'2_Escalas_Reglas'!F28-'2_Escalas_Reglas'!E28)</f>
        <v>-1</v>
      </c>
      <c r="G9" s="13">
        <f>MIN('2_Escalas_Reglas'!F29-'2_Escalas_Reglas'!E29,'2_Escalas_Reglas'!F30-'2_Escalas_Reglas'!E30,'2_Escalas_Reglas'!F31-'2_Escalas_Reglas'!E31)</f>
        <v>0</v>
      </c>
      <c r="H9" s="13">
        <f>MIN('2_Escalas_Reglas'!F32-'2_Escalas_Reglas'!E32,'2_Escalas_Reglas'!F33-'2_Escalas_Reglas'!E33,'2_Escalas_Reglas'!F34-'2_Escalas_Reglas'!E34)</f>
        <v>0</v>
      </c>
      <c r="I9" s="13">
        <f>MIN('2_Escalas_Reglas'!F35-'2_Escalas_Reglas'!E35,'2_Escalas_Reglas'!F36-'2_Escalas_Reglas'!E36,'2_Escalas_Reglas'!F37-'2_Escalas_Reglas'!E37)</f>
        <v>0</v>
      </c>
    </row>
    <row r="10" spans="1:9" x14ac:dyDescent="0.55000000000000004">
      <c r="A10" s="5" t="s">
        <v>84</v>
      </c>
      <c r="B10" s="13" t="str">
        <f>A10&amp;"|"&amp;"LeSS"</f>
        <v>LeSS|LeSS</v>
      </c>
      <c r="C10" s="13">
        <f>MIN('2_Escalas_Reglas'!F15-'2_Escalas_Reglas'!F15,'2_Escalas_Reglas'!F16-'2_Escalas_Reglas'!F16,'2_Escalas_Reglas'!F17-'2_Escalas_Reglas'!F17,'2_Escalas_Reglas'!F18-'2_Escalas_Reglas'!F18,'2_Escalas_Reglas'!F19-'2_Escalas_Reglas'!F19)</f>
        <v>0</v>
      </c>
      <c r="D10" s="13">
        <f>MIN('2_Escalas_Reglas'!F20-'2_Escalas_Reglas'!F20,'2_Escalas_Reglas'!F21-'2_Escalas_Reglas'!F21,'2_Escalas_Reglas'!F22-'2_Escalas_Reglas'!F22)</f>
        <v>0</v>
      </c>
      <c r="E10" s="13">
        <f>MIN('2_Escalas_Reglas'!F23-'2_Escalas_Reglas'!F23,'2_Escalas_Reglas'!F24-'2_Escalas_Reglas'!F24,'2_Escalas_Reglas'!F25-'2_Escalas_Reglas'!F25)</f>
        <v>0</v>
      </c>
      <c r="F10" s="13">
        <f>MIN('2_Escalas_Reglas'!F26-'2_Escalas_Reglas'!F26,'2_Escalas_Reglas'!F27-'2_Escalas_Reglas'!F27,'2_Escalas_Reglas'!F28-'2_Escalas_Reglas'!F28)</f>
        <v>0</v>
      </c>
      <c r="G10" s="13">
        <f>MIN('2_Escalas_Reglas'!F29-'2_Escalas_Reglas'!F29,'2_Escalas_Reglas'!F30-'2_Escalas_Reglas'!F30,'2_Escalas_Reglas'!F31-'2_Escalas_Reglas'!F31)</f>
        <v>0</v>
      </c>
      <c r="H10" s="13">
        <f>MIN('2_Escalas_Reglas'!F32-'2_Escalas_Reglas'!F32,'2_Escalas_Reglas'!F33-'2_Escalas_Reglas'!F33,'2_Escalas_Reglas'!F34-'2_Escalas_Reglas'!F34)</f>
        <v>0</v>
      </c>
      <c r="I10" s="13">
        <f>MIN('2_Escalas_Reglas'!F35-'2_Escalas_Reglas'!F35,'2_Escalas_Reglas'!F36-'2_Escalas_Reglas'!F36,'2_Escalas_Reglas'!F37-'2_Escalas_Reglas'!F37)</f>
        <v>0</v>
      </c>
    </row>
    <row r="11" spans="1:9" x14ac:dyDescent="0.55000000000000004">
      <c r="A11" s="5" t="s">
        <v>84</v>
      </c>
      <c r="B11" s="13" t="str">
        <f>A11&amp;"|"&amp;"SAFe"</f>
        <v>LeSS|SAFe</v>
      </c>
      <c r="C11" s="13">
        <f>MIN('2_Escalas_Reglas'!F15-'2_Escalas_Reglas'!G15,'2_Escalas_Reglas'!F16-'2_Escalas_Reglas'!G16,'2_Escalas_Reglas'!F17-'2_Escalas_Reglas'!G17,'2_Escalas_Reglas'!F18-'2_Escalas_Reglas'!G18,'2_Escalas_Reglas'!F19-'2_Escalas_Reglas'!G19)</f>
        <v>-3</v>
      </c>
      <c r="D11" s="13">
        <f>MIN('2_Escalas_Reglas'!F20-'2_Escalas_Reglas'!G20,'2_Escalas_Reglas'!F21-'2_Escalas_Reglas'!G21,'2_Escalas_Reglas'!F22-'2_Escalas_Reglas'!G22)</f>
        <v>-3</v>
      </c>
      <c r="E11" s="13">
        <f>MIN('2_Escalas_Reglas'!F23-'2_Escalas_Reglas'!G23,'2_Escalas_Reglas'!F24-'2_Escalas_Reglas'!G24,'2_Escalas_Reglas'!F25-'2_Escalas_Reglas'!G25)</f>
        <v>-3</v>
      </c>
      <c r="F11" s="13">
        <f>MIN('2_Escalas_Reglas'!F26-'2_Escalas_Reglas'!G26,'2_Escalas_Reglas'!F27-'2_Escalas_Reglas'!G27,'2_Escalas_Reglas'!F28-'2_Escalas_Reglas'!G28)</f>
        <v>-4</v>
      </c>
      <c r="G11" s="13">
        <f>MIN('2_Escalas_Reglas'!F29-'2_Escalas_Reglas'!G29,'2_Escalas_Reglas'!F30-'2_Escalas_Reglas'!G30,'2_Escalas_Reglas'!F31-'2_Escalas_Reglas'!G31)</f>
        <v>-4</v>
      </c>
      <c r="H11" s="13">
        <f>MIN('2_Escalas_Reglas'!F32-'2_Escalas_Reglas'!G32,'2_Escalas_Reglas'!F33-'2_Escalas_Reglas'!G33,'2_Escalas_Reglas'!F34-'2_Escalas_Reglas'!G34)</f>
        <v>-1</v>
      </c>
      <c r="I11" s="13">
        <f>MIN('2_Escalas_Reglas'!F35-'2_Escalas_Reglas'!G35,'2_Escalas_Reglas'!F36-'2_Escalas_Reglas'!G36,'2_Escalas_Reglas'!F37-'2_Escalas_Reglas'!G37)</f>
        <v>-1</v>
      </c>
    </row>
    <row r="12" spans="1:9" x14ac:dyDescent="0.55000000000000004">
      <c r="A12" s="5" t="s">
        <v>84</v>
      </c>
      <c r="B12" s="13" t="str">
        <f>A12&amp;"|"&amp;"Disciplined Agile"</f>
        <v>LeSS|Disciplined Agile</v>
      </c>
      <c r="C12" s="13">
        <f>MIN('2_Escalas_Reglas'!F15-'2_Escalas_Reglas'!H15,'2_Escalas_Reglas'!F16-'2_Escalas_Reglas'!H16,'2_Escalas_Reglas'!F17-'2_Escalas_Reglas'!H17,'2_Escalas_Reglas'!F18-'2_Escalas_Reglas'!H18,'2_Escalas_Reglas'!F19-'2_Escalas_Reglas'!H19)</f>
        <v>-1</v>
      </c>
      <c r="D12" s="13">
        <f>MIN('2_Escalas_Reglas'!F20-'2_Escalas_Reglas'!H20,'2_Escalas_Reglas'!F21-'2_Escalas_Reglas'!H21,'2_Escalas_Reglas'!F22-'2_Escalas_Reglas'!H22)</f>
        <v>-5</v>
      </c>
      <c r="E12" s="13">
        <f>MIN('2_Escalas_Reglas'!F23-'2_Escalas_Reglas'!H23,'2_Escalas_Reglas'!F24-'2_Escalas_Reglas'!H24,'2_Escalas_Reglas'!F25-'2_Escalas_Reglas'!H25)</f>
        <v>-1</v>
      </c>
      <c r="F12" s="13">
        <f>MIN('2_Escalas_Reglas'!F26-'2_Escalas_Reglas'!H26,'2_Escalas_Reglas'!F27-'2_Escalas_Reglas'!H27,'2_Escalas_Reglas'!F28-'2_Escalas_Reglas'!H28)</f>
        <v>-3</v>
      </c>
      <c r="G12" s="13">
        <f>MIN('2_Escalas_Reglas'!F29-'2_Escalas_Reglas'!H29,'2_Escalas_Reglas'!F30-'2_Escalas_Reglas'!H30,'2_Escalas_Reglas'!F31-'2_Escalas_Reglas'!H31)</f>
        <v>-2</v>
      </c>
      <c r="H12" s="13">
        <f>MIN('2_Escalas_Reglas'!F32-'2_Escalas_Reglas'!H32,'2_Escalas_Reglas'!F33-'2_Escalas_Reglas'!H33,'2_Escalas_Reglas'!F34-'2_Escalas_Reglas'!H34)</f>
        <v>-3</v>
      </c>
      <c r="I12" s="13">
        <f>MIN('2_Escalas_Reglas'!F35-'2_Escalas_Reglas'!H35,'2_Escalas_Reglas'!F36-'2_Escalas_Reglas'!H36,'2_Escalas_Reglas'!F37-'2_Escalas_Reglas'!H37)</f>
        <v>-4</v>
      </c>
    </row>
    <row r="13" spans="1:9" x14ac:dyDescent="0.55000000000000004">
      <c r="A13" s="5" t="s">
        <v>85</v>
      </c>
      <c r="B13" s="13" t="str">
        <f>A13&amp;"|"&amp;"Nexus"</f>
        <v>SAFe|Nexus</v>
      </c>
      <c r="C13" s="13">
        <f>MIN('2_Escalas_Reglas'!G15-'2_Escalas_Reglas'!E15,'2_Escalas_Reglas'!G16-'2_Escalas_Reglas'!E16,'2_Escalas_Reglas'!G17-'2_Escalas_Reglas'!E17,'2_Escalas_Reglas'!G18-'2_Escalas_Reglas'!E18,'2_Escalas_Reglas'!G19-'2_Escalas_Reglas'!E19)</f>
        <v>-2</v>
      </c>
      <c r="D13" s="13">
        <f>MIN('2_Escalas_Reglas'!G20-'2_Escalas_Reglas'!E20,'2_Escalas_Reglas'!G21-'2_Escalas_Reglas'!E21,'2_Escalas_Reglas'!G22-'2_Escalas_Reglas'!E22)</f>
        <v>-2</v>
      </c>
      <c r="E13" s="13">
        <f>MIN('2_Escalas_Reglas'!G23-'2_Escalas_Reglas'!E23,'2_Escalas_Reglas'!G24-'2_Escalas_Reglas'!E24,'2_Escalas_Reglas'!G25-'2_Escalas_Reglas'!E25)</f>
        <v>-1</v>
      </c>
      <c r="F13" s="13">
        <f>MIN('2_Escalas_Reglas'!G26-'2_Escalas_Reglas'!E26,'2_Escalas_Reglas'!G27-'2_Escalas_Reglas'!E27,'2_Escalas_Reglas'!G28-'2_Escalas_Reglas'!E28)</f>
        <v>-2</v>
      </c>
      <c r="G13" s="13">
        <f>MIN('2_Escalas_Reglas'!G29-'2_Escalas_Reglas'!E29,'2_Escalas_Reglas'!G30-'2_Escalas_Reglas'!E30,'2_Escalas_Reglas'!G31-'2_Escalas_Reglas'!E31)</f>
        <v>-3</v>
      </c>
      <c r="H13" s="13">
        <f>MIN('2_Escalas_Reglas'!G32-'2_Escalas_Reglas'!E32,'2_Escalas_Reglas'!G33-'2_Escalas_Reglas'!E33,'2_Escalas_Reglas'!G34-'2_Escalas_Reglas'!E34)</f>
        <v>0</v>
      </c>
      <c r="I13" s="13">
        <f>MIN('2_Escalas_Reglas'!G35-'2_Escalas_Reglas'!E35,'2_Escalas_Reglas'!G36-'2_Escalas_Reglas'!E36,'2_Escalas_Reglas'!G37-'2_Escalas_Reglas'!E37)</f>
        <v>-1</v>
      </c>
    </row>
    <row r="14" spans="1:9" x14ac:dyDescent="0.55000000000000004">
      <c r="A14" s="5" t="s">
        <v>85</v>
      </c>
      <c r="B14" s="13" t="str">
        <f>A14&amp;"|"&amp;"LeSS"</f>
        <v>SAFe|LeSS</v>
      </c>
      <c r="C14" s="13">
        <f>MIN('2_Escalas_Reglas'!G15-'2_Escalas_Reglas'!F15,'2_Escalas_Reglas'!G16-'2_Escalas_Reglas'!F16,'2_Escalas_Reglas'!G17-'2_Escalas_Reglas'!F17,'2_Escalas_Reglas'!G18-'2_Escalas_Reglas'!F18,'2_Escalas_Reglas'!G19-'2_Escalas_Reglas'!F19)</f>
        <v>-3</v>
      </c>
      <c r="D14" s="13">
        <f>MIN('2_Escalas_Reglas'!G20-'2_Escalas_Reglas'!F20,'2_Escalas_Reglas'!G21-'2_Escalas_Reglas'!F21,'2_Escalas_Reglas'!G22-'2_Escalas_Reglas'!F22)</f>
        <v>-2</v>
      </c>
      <c r="E14" s="13">
        <f>MIN('2_Escalas_Reglas'!G23-'2_Escalas_Reglas'!F23,'2_Escalas_Reglas'!G24-'2_Escalas_Reglas'!F24,'2_Escalas_Reglas'!G25-'2_Escalas_Reglas'!F25)</f>
        <v>-2</v>
      </c>
      <c r="F14" s="13">
        <f>MIN('2_Escalas_Reglas'!G26-'2_Escalas_Reglas'!F26,'2_Escalas_Reglas'!G27-'2_Escalas_Reglas'!F27,'2_Escalas_Reglas'!G28-'2_Escalas_Reglas'!F28)</f>
        <v>-3</v>
      </c>
      <c r="G14" s="13">
        <f>MIN('2_Escalas_Reglas'!G29-'2_Escalas_Reglas'!F29,'2_Escalas_Reglas'!G30-'2_Escalas_Reglas'!F30,'2_Escalas_Reglas'!G31-'2_Escalas_Reglas'!F31)</f>
        <v>-3</v>
      </c>
      <c r="H14" s="13">
        <f>MIN('2_Escalas_Reglas'!G32-'2_Escalas_Reglas'!F32,'2_Escalas_Reglas'!G33-'2_Escalas_Reglas'!F33,'2_Escalas_Reglas'!G34-'2_Escalas_Reglas'!F34)</f>
        <v>-1</v>
      </c>
      <c r="I14" s="13">
        <f>MIN('2_Escalas_Reglas'!G35-'2_Escalas_Reglas'!F35,'2_Escalas_Reglas'!G36-'2_Escalas_Reglas'!F36,'2_Escalas_Reglas'!G37-'2_Escalas_Reglas'!F37)</f>
        <v>-1</v>
      </c>
    </row>
    <row r="15" spans="1:9" x14ac:dyDescent="0.55000000000000004">
      <c r="A15" s="5" t="s">
        <v>85</v>
      </c>
      <c r="B15" s="13" t="str">
        <f>A15&amp;"|"&amp;"SAFe"</f>
        <v>SAFe|SAFe</v>
      </c>
      <c r="C15" s="13">
        <f>MIN('2_Escalas_Reglas'!G15-'2_Escalas_Reglas'!G15,'2_Escalas_Reglas'!G16-'2_Escalas_Reglas'!G16,'2_Escalas_Reglas'!G17-'2_Escalas_Reglas'!G17,'2_Escalas_Reglas'!G18-'2_Escalas_Reglas'!G18,'2_Escalas_Reglas'!G19-'2_Escalas_Reglas'!G19)</f>
        <v>0</v>
      </c>
      <c r="D15" s="13">
        <f>MIN('2_Escalas_Reglas'!G20-'2_Escalas_Reglas'!G20,'2_Escalas_Reglas'!G21-'2_Escalas_Reglas'!G21,'2_Escalas_Reglas'!G22-'2_Escalas_Reglas'!G22)</f>
        <v>0</v>
      </c>
      <c r="E15" s="13">
        <f>MIN('2_Escalas_Reglas'!G23-'2_Escalas_Reglas'!G23,'2_Escalas_Reglas'!G24-'2_Escalas_Reglas'!G24,'2_Escalas_Reglas'!G25-'2_Escalas_Reglas'!G25)</f>
        <v>0</v>
      </c>
      <c r="F15" s="13">
        <f>MIN('2_Escalas_Reglas'!G26-'2_Escalas_Reglas'!G26,'2_Escalas_Reglas'!G27-'2_Escalas_Reglas'!G27,'2_Escalas_Reglas'!G28-'2_Escalas_Reglas'!G28)</f>
        <v>0</v>
      </c>
      <c r="G15" s="13">
        <f>MIN('2_Escalas_Reglas'!G29-'2_Escalas_Reglas'!G29,'2_Escalas_Reglas'!G30-'2_Escalas_Reglas'!G30,'2_Escalas_Reglas'!G31-'2_Escalas_Reglas'!G31)</f>
        <v>0</v>
      </c>
      <c r="H15" s="13">
        <f>MIN('2_Escalas_Reglas'!G32-'2_Escalas_Reglas'!G32,'2_Escalas_Reglas'!G33-'2_Escalas_Reglas'!G33,'2_Escalas_Reglas'!G34-'2_Escalas_Reglas'!G34)</f>
        <v>0</v>
      </c>
      <c r="I15" s="13">
        <f>MIN('2_Escalas_Reglas'!G35-'2_Escalas_Reglas'!G35,'2_Escalas_Reglas'!G36-'2_Escalas_Reglas'!G36,'2_Escalas_Reglas'!G37-'2_Escalas_Reglas'!G37)</f>
        <v>0</v>
      </c>
    </row>
    <row r="16" spans="1:9" x14ac:dyDescent="0.55000000000000004">
      <c r="A16" s="5" t="s">
        <v>85</v>
      </c>
      <c r="B16" s="13" t="str">
        <f>A16&amp;"|"&amp;"Disciplined Agile"</f>
        <v>SAFe|Disciplined Agile</v>
      </c>
      <c r="C16" s="13">
        <f>MIN('2_Escalas_Reglas'!G15-'2_Escalas_Reglas'!H15,'2_Escalas_Reglas'!G16-'2_Escalas_Reglas'!H16,'2_Escalas_Reglas'!G17-'2_Escalas_Reglas'!H17,'2_Escalas_Reglas'!G18-'2_Escalas_Reglas'!H18,'2_Escalas_Reglas'!G19-'2_Escalas_Reglas'!H19)</f>
        <v>-4</v>
      </c>
      <c r="D16" s="13">
        <f>MIN('2_Escalas_Reglas'!G20-'2_Escalas_Reglas'!H20,'2_Escalas_Reglas'!G21-'2_Escalas_Reglas'!H21,'2_Escalas_Reglas'!G22-'2_Escalas_Reglas'!H22)</f>
        <v>-3</v>
      </c>
      <c r="E16" s="13">
        <f>MIN('2_Escalas_Reglas'!G23-'2_Escalas_Reglas'!H23,'2_Escalas_Reglas'!G24-'2_Escalas_Reglas'!H24,'2_Escalas_Reglas'!G25-'2_Escalas_Reglas'!H25)</f>
        <v>-3</v>
      </c>
      <c r="F16" s="13">
        <f>MIN('2_Escalas_Reglas'!G26-'2_Escalas_Reglas'!H26,'2_Escalas_Reglas'!G27-'2_Escalas_Reglas'!H27,'2_Escalas_Reglas'!G28-'2_Escalas_Reglas'!H28)</f>
        <v>-2</v>
      </c>
      <c r="G16" s="13">
        <f>MIN('2_Escalas_Reglas'!G29-'2_Escalas_Reglas'!H29,'2_Escalas_Reglas'!G30-'2_Escalas_Reglas'!H30,'2_Escalas_Reglas'!G31-'2_Escalas_Reglas'!H31)</f>
        <v>-3</v>
      </c>
      <c r="H16" s="13">
        <f>MIN('2_Escalas_Reglas'!G32-'2_Escalas_Reglas'!H32,'2_Escalas_Reglas'!G33-'2_Escalas_Reglas'!H33,'2_Escalas_Reglas'!G34-'2_Escalas_Reglas'!H34)</f>
        <v>-4</v>
      </c>
      <c r="I16" s="13">
        <f>MIN('2_Escalas_Reglas'!G35-'2_Escalas_Reglas'!H35,'2_Escalas_Reglas'!G36-'2_Escalas_Reglas'!H36,'2_Escalas_Reglas'!G37-'2_Escalas_Reglas'!H37)</f>
        <v>-3</v>
      </c>
    </row>
    <row r="17" spans="1:9" x14ac:dyDescent="0.55000000000000004">
      <c r="A17" s="5" t="s">
        <v>190</v>
      </c>
      <c r="B17" s="13" t="str">
        <f>A17&amp;"|"&amp;"Nexus"</f>
        <v>Disciplined Agile|Nexus</v>
      </c>
      <c r="C17" s="13">
        <f>MIN('2_Escalas_Reglas'!H15-'2_Escalas_Reglas'!E15,'2_Escalas_Reglas'!H16-'2_Escalas_Reglas'!E16,'2_Escalas_Reglas'!H17-'2_Escalas_Reglas'!E17,'2_Escalas_Reglas'!H18-'2_Escalas_Reglas'!E18,'2_Escalas_Reglas'!H19-'2_Escalas_Reglas'!E19)</f>
        <v>-1</v>
      </c>
      <c r="D17" s="13">
        <f>MIN('2_Escalas_Reglas'!H20-'2_Escalas_Reglas'!E20,'2_Escalas_Reglas'!H21-'2_Escalas_Reglas'!E21,'2_Escalas_Reglas'!H22-'2_Escalas_Reglas'!E22)</f>
        <v>-2</v>
      </c>
      <c r="E17" s="13">
        <f>MIN('2_Escalas_Reglas'!H23-'2_Escalas_Reglas'!E23,'2_Escalas_Reglas'!H24-'2_Escalas_Reglas'!E24,'2_Escalas_Reglas'!H25-'2_Escalas_Reglas'!E25)</f>
        <v>-1</v>
      </c>
      <c r="F17" s="13">
        <f>MIN('2_Escalas_Reglas'!H26-'2_Escalas_Reglas'!E26,'2_Escalas_Reglas'!H27-'2_Escalas_Reglas'!E27,'2_Escalas_Reglas'!H28-'2_Escalas_Reglas'!E28)</f>
        <v>0</v>
      </c>
      <c r="G17" s="13">
        <f>MIN('2_Escalas_Reglas'!H29-'2_Escalas_Reglas'!E29,'2_Escalas_Reglas'!H30-'2_Escalas_Reglas'!E30,'2_Escalas_Reglas'!H31-'2_Escalas_Reglas'!E31)</f>
        <v>0</v>
      </c>
      <c r="H17" s="13">
        <f>MIN('2_Escalas_Reglas'!H32-'2_Escalas_Reglas'!E32,'2_Escalas_Reglas'!H33-'2_Escalas_Reglas'!E33,'2_Escalas_Reglas'!H34-'2_Escalas_Reglas'!E34)</f>
        <v>-1</v>
      </c>
      <c r="I17" s="13">
        <f>MIN('2_Escalas_Reglas'!H35-'2_Escalas_Reglas'!E35,'2_Escalas_Reglas'!H36-'2_Escalas_Reglas'!E36,'2_Escalas_Reglas'!H37-'2_Escalas_Reglas'!E37)</f>
        <v>-2</v>
      </c>
    </row>
    <row r="18" spans="1:9" x14ac:dyDescent="0.55000000000000004">
      <c r="A18" s="5" t="s">
        <v>190</v>
      </c>
      <c r="B18" s="13" t="str">
        <f>A18&amp;"|"&amp;"LeSS"</f>
        <v>Disciplined Agile|LeSS</v>
      </c>
      <c r="C18" s="13">
        <f>MIN('2_Escalas_Reglas'!H15-'2_Escalas_Reglas'!F15,'2_Escalas_Reglas'!H16-'2_Escalas_Reglas'!F16,'2_Escalas_Reglas'!H17-'2_Escalas_Reglas'!F17,'2_Escalas_Reglas'!H18-'2_Escalas_Reglas'!F18,'2_Escalas_Reglas'!H19-'2_Escalas_Reglas'!F19)</f>
        <v>-1</v>
      </c>
      <c r="D18" s="13">
        <f>MIN('2_Escalas_Reglas'!H20-'2_Escalas_Reglas'!F20,'2_Escalas_Reglas'!H21-'2_Escalas_Reglas'!F21,'2_Escalas_Reglas'!H22-'2_Escalas_Reglas'!F22)</f>
        <v>-2</v>
      </c>
      <c r="E18" s="13">
        <f>MIN('2_Escalas_Reglas'!H23-'2_Escalas_Reglas'!F23,'2_Escalas_Reglas'!H24-'2_Escalas_Reglas'!F24,'2_Escalas_Reglas'!H25-'2_Escalas_Reglas'!F25)</f>
        <v>0</v>
      </c>
      <c r="F18" s="13">
        <f>MIN('2_Escalas_Reglas'!H26-'2_Escalas_Reglas'!F26,'2_Escalas_Reglas'!H27-'2_Escalas_Reglas'!F27,'2_Escalas_Reglas'!H28-'2_Escalas_Reglas'!F28)</f>
        <v>-1</v>
      </c>
      <c r="G18" s="13">
        <f>MIN('2_Escalas_Reglas'!H29-'2_Escalas_Reglas'!F29,'2_Escalas_Reglas'!H30-'2_Escalas_Reglas'!F30,'2_Escalas_Reglas'!H31-'2_Escalas_Reglas'!F31)</f>
        <v>0</v>
      </c>
      <c r="H18" s="13">
        <f>MIN('2_Escalas_Reglas'!H32-'2_Escalas_Reglas'!F32,'2_Escalas_Reglas'!H33-'2_Escalas_Reglas'!F33,'2_Escalas_Reglas'!H34-'2_Escalas_Reglas'!F34)</f>
        <v>-1</v>
      </c>
      <c r="I18" s="13">
        <f>MIN('2_Escalas_Reglas'!H35-'2_Escalas_Reglas'!F35,'2_Escalas_Reglas'!H36-'2_Escalas_Reglas'!F36,'2_Escalas_Reglas'!H37-'2_Escalas_Reglas'!F37)</f>
        <v>-2</v>
      </c>
    </row>
    <row r="19" spans="1:9" x14ac:dyDescent="0.55000000000000004">
      <c r="A19" s="5" t="s">
        <v>190</v>
      </c>
      <c r="B19" s="13" t="str">
        <f>A19&amp;"|"&amp;"SAFe"</f>
        <v>Disciplined Agile|SAFe</v>
      </c>
      <c r="C19" s="13">
        <f>MIN('2_Escalas_Reglas'!H15-'2_Escalas_Reglas'!G15,'2_Escalas_Reglas'!H16-'2_Escalas_Reglas'!G16,'2_Escalas_Reglas'!H17-'2_Escalas_Reglas'!G17,'2_Escalas_Reglas'!H18-'2_Escalas_Reglas'!G18,'2_Escalas_Reglas'!H19-'2_Escalas_Reglas'!G19)</f>
        <v>-2</v>
      </c>
      <c r="D19" s="13">
        <f>MIN('2_Escalas_Reglas'!H20-'2_Escalas_Reglas'!G20,'2_Escalas_Reglas'!H21-'2_Escalas_Reglas'!G21,'2_Escalas_Reglas'!H22-'2_Escalas_Reglas'!G22)</f>
        <v>-2</v>
      </c>
      <c r="E19" s="13">
        <f>MIN('2_Escalas_Reglas'!H23-'2_Escalas_Reglas'!G23,'2_Escalas_Reglas'!H24-'2_Escalas_Reglas'!G24,'2_Escalas_Reglas'!H25-'2_Escalas_Reglas'!G25)</f>
        <v>-2</v>
      </c>
      <c r="F19" s="13">
        <f>MIN('2_Escalas_Reglas'!H26-'2_Escalas_Reglas'!G26,'2_Escalas_Reglas'!H27-'2_Escalas_Reglas'!G27,'2_Escalas_Reglas'!H28-'2_Escalas_Reglas'!G28)</f>
        <v>-1</v>
      </c>
      <c r="G19" s="13">
        <f>MIN('2_Escalas_Reglas'!H29-'2_Escalas_Reglas'!G29,'2_Escalas_Reglas'!H30-'2_Escalas_Reglas'!G30,'2_Escalas_Reglas'!H31-'2_Escalas_Reglas'!G31)</f>
        <v>-2</v>
      </c>
      <c r="H19" s="13">
        <f>MIN('2_Escalas_Reglas'!H32-'2_Escalas_Reglas'!G32,'2_Escalas_Reglas'!H33-'2_Escalas_Reglas'!G33,'2_Escalas_Reglas'!H34-'2_Escalas_Reglas'!G34)</f>
        <v>-2</v>
      </c>
      <c r="I19" s="13">
        <f>MIN('2_Escalas_Reglas'!H35-'2_Escalas_Reglas'!G35,'2_Escalas_Reglas'!H36-'2_Escalas_Reglas'!G36,'2_Escalas_Reglas'!H37-'2_Escalas_Reglas'!G37)</f>
        <v>-1</v>
      </c>
    </row>
    <row r="20" spans="1:9" x14ac:dyDescent="0.55000000000000004">
      <c r="A20" s="5" t="s">
        <v>190</v>
      </c>
      <c r="B20" s="13" t="str">
        <f>A20&amp;"|"&amp;"Disciplined Agile"</f>
        <v>Disciplined Agile|Disciplined Agile</v>
      </c>
      <c r="C20" s="13">
        <f>MIN('2_Escalas_Reglas'!H15-'2_Escalas_Reglas'!H15,'2_Escalas_Reglas'!H16-'2_Escalas_Reglas'!H16,'2_Escalas_Reglas'!H17-'2_Escalas_Reglas'!H17,'2_Escalas_Reglas'!H18-'2_Escalas_Reglas'!H18,'2_Escalas_Reglas'!H19-'2_Escalas_Reglas'!H19)</f>
        <v>0</v>
      </c>
      <c r="D20" s="13">
        <f>MIN('2_Escalas_Reglas'!H20-'2_Escalas_Reglas'!H20,'2_Escalas_Reglas'!H21-'2_Escalas_Reglas'!H21,'2_Escalas_Reglas'!H22-'2_Escalas_Reglas'!H22)</f>
        <v>0</v>
      </c>
      <c r="E20" s="13">
        <f>MIN('2_Escalas_Reglas'!H23-'2_Escalas_Reglas'!H23,'2_Escalas_Reglas'!H24-'2_Escalas_Reglas'!H24,'2_Escalas_Reglas'!H25-'2_Escalas_Reglas'!H25)</f>
        <v>0</v>
      </c>
      <c r="F20" s="13">
        <f>MIN('2_Escalas_Reglas'!H26-'2_Escalas_Reglas'!H26,'2_Escalas_Reglas'!H27-'2_Escalas_Reglas'!H27,'2_Escalas_Reglas'!H28-'2_Escalas_Reglas'!H28)</f>
        <v>0</v>
      </c>
      <c r="G20" s="13">
        <f>MIN('2_Escalas_Reglas'!H29-'2_Escalas_Reglas'!H29,'2_Escalas_Reglas'!H30-'2_Escalas_Reglas'!H30,'2_Escalas_Reglas'!H31-'2_Escalas_Reglas'!H31)</f>
        <v>0</v>
      </c>
      <c r="H20" s="13">
        <f>MIN('2_Escalas_Reglas'!H32-'2_Escalas_Reglas'!H32,'2_Escalas_Reglas'!H33-'2_Escalas_Reglas'!H33,'2_Escalas_Reglas'!H34-'2_Escalas_Reglas'!H34)</f>
        <v>0</v>
      </c>
      <c r="I20" s="13">
        <f>MIN('2_Escalas_Reglas'!H35-'2_Escalas_Reglas'!H35,'2_Escalas_Reglas'!H36-'2_Escalas_Reglas'!H36,'2_Escalas_Reglas'!H37-'2_Escalas_Reglas'!H37)</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1"/>
  <sheetViews>
    <sheetView workbookViewId="0">
      <pane xSplit="1" ySplit="5" topLeftCell="B6" activePane="bottomRight" state="frozen"/>
      <selection pane="topRight"/>
      <selection pane="bottomLeft"/>
      <selection pane="bottomRight"/>
    </sheetView>
  </sheetViews>
  <sheetFormatPr defaultRowHeight="14.4" x14ac:dyDescent="0.55000000000000004"/>
  <cols>
    <col min="1" max="1" width="9" customWidth="1"/>
    <col min="2" max="2" width="24" customWidth="1"/>
    <col min="3" max="3" width="9" customWidth="1"/>
    <col min="4" max="4" width="11" customWidth="1"/>
    <col min="5" max="5" width="34" customWidth="1"/>
    <col min="6" max="6" width="22" customWidth="1"/>
    <col min="7" max="7" width="12" customWidth="1"/>
    <col min="8" max="8" width="32" customWidth="1"/>
    <col min="9" max="9" width="20" customWidth="1"/>
    <col min="10" max="13" width="8" customWidth="1"/>
    <col min="14" max="17" width="9" customWidth="1"/>
    <col min="18" max="21" width="10" customWidth="1"/>
  </cols>
  <sheetData>
    <row r="1" spans="1:21" ht="18.3" x14ac:dyDescent="0.7">
      <c r="A1" s="1" t="s">
        <v>191</v>
      </c>
    </row>
    <row r="2" spans="1:21" ht="60" customHeight="1" x14ac:dyDescent="0.55000000000000004">
      <c r="A2" s="2" t="s">
        <v>192</v>
      </c>
      <c r="B2" s="38" t="s">
        <v>193</v>
      </c>
      <c r="C2" s="30"/>
      <c r="D2" s="30"/>
      <c r="E2" s="30"/>
      <c r="F2" s="30"/>
      <c r="G2" s="30"/>
      <c r="H2" s="30"/>
      <c r="I2" s="30"/>
      <c r="J2" s="30"/>
      <c r="K2" s="30"/>
      <c r="L2" s="30"/>
      <c r="M2" s="30"/>
      <c r="N2" s="30"/>
      <c r="O2" s="30"/>
      <c r="P2" s="30"/>
      <c r="Q2" s="31"/>
    </row>
    <row r="4" spans="1:21" x14ac:dyDescent="0.55000000000000004">
      <c r="A4" s="11" t="s">
        <v>194</v>
      </c>
    </row>
    <row r="5" spans="1:21" ht="45" customHeight="1" x14ac:dyDescent="0.55000000000000004">
      <c r="A5" s="4" t="s">
        <v>16</v>
      </c>
      <c r="B5" s="4" t="s">
        <v>17</v>
      </c>
      <c r="C5" s="4" t="s">
        <v>19</v>
      </c>
      <c r="D5" s="4" t="s">
        <v>20</v>
      </c>
      <c r="E5" s="4" t="s">
        <v>195</v>
      </c>
      <c r="F5" s="4" t="s">
        <v>196</v>
      </c>
      <c r="G5" s="4" t="s">
        <v>197</v>
      </c>
      <c r="H5" s="4" t="s">
        <v>198</v>
      </c>
      <c r="I5" s="4" t="s">
        <v>199</v>
      </c>
      <c r="J5" s="4" t="s">
        <v>83</v>
      </c>
      <c r="K5" s="4" t="s">
        <v>84</v>
      </c>
      <c r="L5" s="4" t="s">
        <v>85</v>
      </c>
      <c r="M5" s="4" t="s">
        <v>86</v>
      </c>
      <c r="N5" s="4" t="s">
        <v>200</v>
      </c>
      <c r="O5" s="4" t="s">
        <v>201</v>
      </c>
      <c r="P5" s="4" t="s">
        <v>202</v>
      </c>
      <c r="Q5" s="4" t="s">
        <v>203</v>
      </c>
      <c r="R5" s="4" t="s">
        <v>204</v>
      </c>
      <c r="S5" s="4" t="s">
        <v>205</v>
      </c>
      <c r="T5" s="4" t="s">
        <v>206</v>
      </c>
      <c r="U5" s="4" t="s">
        <v>207</v>
      </c>
    </row>
    <row r="6" spans="1:21" ht="60" customHeight="1" x14ac:dyDescent="0.55000000000000004">
      <c r="A6" s="17" t="s">
        <v>23</v>
      </c>
      <c r="B6" s="18" t="str">
        <f>'1_Criterios_Pesos'!B5</f>
        <v>Escala (número de equipos)</v>
      </c>
      <c r="C6" s="19">
        <f>'1_Criterios_Pesos'!D5</f>
        <v>0.15</v>
      </c>
      <c r="D6" s="13" t="str">
        <f>'1_Criterios_Pesos'!E5</f>
        <v>Sí</v>
      </c>
      <c r="E6" s="16"/>
      <c r="F6" s="8"/>
      <c r="G6" s="8"/>
      <c r="H6" s="16"/>
      <c r="I6" s="18" t="str">
        <f>IF(G6="Faltante","(faltante)",IF(F6="","",IF(F6&lt;=3,"1 a 3 equipos",IF(F6&lt;=9,"4 a 9 equipos",IF(F6&lt;=15,"10 a 15 equipos",IF(F6&lt;=50,"16 a 50 equipos","Más de 50 equipos"))))))</f>
        <v/>
      </c>
      <c r="J6" s="20" t="str">
        <f>IF($G6="Faltante",PUNTAJE_NEUTRO,IF($I6="","",INDEX('2_Escalas_Reglas'!$E$15:$E$37,MATCH($A6&amp;"|"&amp;$I6,'2_Escalas_Reglas'!$A$15:$A$37,0))))</f>
        <v/>
      </c>
      <c r="K6" s="20" t="str">
        <f>IF($G6="Faltante",PUNTAJE_NEUTRO,IF($I6="","",INDEX('2_Escalas_Reglas'!$F$15:$F$37,MATCH($A6&amp;"|"&amp;$I6,'2_Escalas_Reglas'!$A$15:$A$37,0))))</f>
        <v/>
      </c>
      <c r="L6" s="20" t="str">
        <f>IF($G6="Faltante",PUNTAJE_NEUTRO,IF($I6="","",INDEX('2_Escalas_Reglas'!$G$15:$G$37,MATCH($A6&amp;"|"&amp;$I6,'2_Escalas_Reglas'!$A$15:$A$37,0))))</f>
        <v/>
      </c>
      <c r="M6" s="20" t="str">
        <f>IF($G6="Faltante",PUNTAJE_NEUTRO,IF($I6="","",INDEX('2_Escalas_Reglas'!$H$15:$H$37,MATCH($A6&amp;"|"&amp;$I6,'2_Escalas_Reglas'!$A$15:$A$37,0))))</f>
        <v/>
      </c>
      <c r="N6" s="21" t="str">
        <f t="shared" ref="N6:Q12" si="0">IF(J6="","",$C6*J6)</f>
        <v/>
      </c>
      <c r="O6" s="21" t="str">
        <f t="shared" si="0"/>
        <v/>
      </c>
      <c r="P6" s="21" t="str">
        <f t="shared" si="0"/>
        <v/>
      </c>
      <c r="Q6" s="21" t="str">
        <f t="shared" si="0"/>
        <v/>
      </c>
      <c r="R6" s="21">
        <f>IF($G6="Faltante",IFERROR($C6*INDEX(Aux_Sensibilidad!$C$5:$I$20,MATCH($C$23&amp;"|"&amp;"Nexus",Aux_Sensibilidad!$B$5:$B$20,0),1),0),0)</f>
        <v>0</v>
      </c>
      <c r="S6" s="21">
        <f>IF($G6="Faltante",IFERROR($C6*INDEX(Aux_Sensibilidad!$C$5:$I$20,MATCH($C$23&amp;"|"&amp;"LeSS",Aux_Sensibilidad!$B$5:$B$20,0),1),0),0)</f>
        <v>0</v>
      </c>
      <c r="T6" s="21">
        <f>IF($G6="Faltante",IFERROR($C6*INDEX(Aux_Sensibilidad!$C$5:$I$20,MATCH($C$23&amp;"|"&amp;"SAFe",Aux_Sensibilidad!$B$5:$B$20,0),1),0),0)</f>
        <v>0</v>
      </c>
      <c r="U6" s="21">
        <f>IF($G6="Faltante",IFERROR($C6*INDEX(Aux_Sensibilidad!$C$5:$I$20,MATCH($C$23&amp;"|"&amp;"Disciplined Agile",Aux_Sensibilidad!$B$5:$B$20,0),1),0),0)</f>
        <v>0</v>
      </c>
    </row>
    <row r="7" spans="1:21" ht="60" customHeight="1" x14ac:dyDescent="0.55000000000000004">
      <c r="A7" s="17" t="s">
        <v>29</v>
      </c>
      <c r="B7" s="18" t="str">
        <f>'1_Criterios_Pesos'!B6</f>
        <v>Estructura de producto o solución</v>
      </c>
      <c r="C7" s="19">
        <f>'1_Criterios_Pesos'!D6</f>
        <v>0.2</v>
      </c>
      <c r="D7" s="13" t="str">
        <f>'1_Criterios_Pesos'!E6</f>
        <v>Sí</v>
      </c>
      <c r="E7" s="16"/>
      <c r="F7" s="8"/>
      <c r="G7" s="8"/>
      <c r="H7" s="16"/>
      <c r="I7" s="18" t="str">
        <f t="shared" ref="I7:I12" si="1">IF(G7="Faltante","(faltante)",IF(F7="","",F7))</f>
        <v/>
      </c>
      <c r="J7" s="20" t="str">
        <f>IF($G7="Faltante",PUNTAJE_NEUTRO,IF($I7="","",INDEX('2_Escalas_Reglas'!$E$15:$E$37,MATCH($A7&amp;"|"&amp;$I7,'2_Escalas_Reglas'!$A$15:$A$37,0))))</f>
        <v/>
      </c>
      <c r="K7" s="20" t="str">
        <f>IF($G7="Faltante",PUNTAJE_NEUTRO,IF($I7="","",INDEX('2_Escalas_Reglas'!$F$15:$F$37,MATCH($A7&amp;"|"&amp;$I7,'2_Escalas_Reglas'!$A$15:$A$37,0))))</f>
        <v/>
      </c>
      <c r="L7" s="20" t="str">
        <f>IF($G7="Faltante",PUNTAJE_NEUTRO,IF($I7="","",INDEX('2_Escalas_Reglas'!$G$15:$G$37,MATCH($A7&amp;"|"&amp;$I7,'2_Escalas_Reglas'!$A$15:$A$37,0))))</f>
        <v/>
      </c>
      <c r="M7" s="20" t="str">
        <f>IF($G7="Faltante",PUNTAJE_NEUTRO,IF($I7="","",INDEX('2_Escalas_Reglas'!$H$15:$H$37,MATCH($A7&amp;"|"&amp;$I7,'2_Escalas_Reglas'!$A$15:$A$37,0))))</f>
        <v/>
      </c>
      <c r="N7" s="21" t="str">
        <f t="shared" si="0"/>
        <v/>
      </c>
      <c r="O7" s="21" t="str">
        <f t="shared" si="0"/>
        <v/>
      </c>
      <c r="P7" s="21" t="str">
        <f t="shared" si="0"/>
        <v/>
      </c>
      <c r="Q7" s="21" t="str">
        <f t="shared" si="0"/>
        <v/>
      </c>
      <c r="R7" s="21">
        <f>IF($G7="Faltante",IFERROR($C7*INDEX(Aux_Sensibilidad!$C$5:$I$20,MATCH($C$23&amp;"|"&amp;"Nexus",Aux_Sensibilidad!$B$5:$B$20,0),2),0),0)</f>
        <v>0</v>
      </c>
      <c r="S7" s="21">
        <f>IF($G7="Faltante",IFERROR($C7*INDEX(Aux_Sensibilidad!$C$5:$I$20,MATCH($C$23&amp;"|"&amp;"LeSS",Aux_Sensibilidad!$B$5:$B$20,0),2),0),0)</f>
        <v>0</v>
      </c>
      <c r="T7" s="21">
        <f>IF($G7="Faltante",IFERROR($C7*INDEX(Aux_Sensibilidad!$C$5:$I$20,MATCH($C$23&amp;"|"&amp;"SAFe",Aux_Sensibilidad!$B$5:$B$20,0),2),0),0)</f>
        <v>0</v>
      </c>
      <c r="U7" s="21">
        <f>IF($G7="Faltante",IFERROR($C7*INDEX(Aux_Sensibilidad!$C$5:$I$20,MATCH($C$23&amp;"|"&amp;"Disciplined Agile",Aux_Sensibilidad!$B$5:$B$20,0),2),0),0)</f>
        <v>0</v>
      </c>
    </row>
    <row r="8" spans="1:21" ht="60" customHeight="1" x14ac:dyDescent="0.55000000000000004">
      <c r="A8" s="17" t="s">
        <v>34</v>
      </c>
      <c r="B8" s="18" t="str">
        <f>'1_Criterios_Pesos'!B7</f>
        <v>Dependencias entre equipos y áreas</v>
      </c>
      <c r="C8" s="19">
        <f>'1_Criterios_Pesos'!D7</f>
        <v>0.15</v>
      </c>
      <c r="D8" s="13" t="str">
        <f>'1_Criterios_Pesos'!E7</f>
        <v>No</v>
      </c>
      <c r="E8" s="16"/>
      <c r="F8" s="8"/>
      <c r="G8" s="8"/>
      <c r="H8" s="16"/>
      <c r="I8" s="18" t="str">
        <f t="shared" si="1"/>
        <v/>
      </c>
      <c r="J8" s="20" t="str">
        <f>IF($G8="Faltante",PUNTAJE_NEUTRO,IF($I8="","",INDEX('2_Escalas_Reglas'!$E$15:$E$37,MATCH($A8&amp;"|"&amp;$I8,'2_Escalas_Reglas'!$A$15:$A$37,0))))</f>
        <v/>
      </c>
      <c r="K8" s="20" t="str">
        <f>IF($G8="Faltante",PUNTAJE_NEUTRO,IF($I8="","",INDEX('2_Escalas_Reglas'!$F$15:$F$37,MATCH($A8&amp;"|"&amp;$I8,'2_Escalas_Reglas'!$A$15:$A$37,0))))</f>
        <v/>
      </c>
      <c r="L8" s="20" t="str">
        <f>IF($G8="Faltante",PUNTAJE_NEUTRO,IF($I8="","",INDEX('2_Escalas_Reglas'!$G$15:$G$37,MATCH($A8&amp;"|"&amp;$I8,'2_Escalas_Reglas'!$A$15:$A$37,0))))</f>
        <v/>
      </c>
      <c r="M8" s="20" t="str">
        <f>IF($G8="Faltante",PUNTAJE_NEUTRO,IF($I8="","",INDEX('2_Escalas_Reglas'!$H$15:$H$37,MATCH($A8&amp;"|"&amp;$I8,'2_Escalas_Reglas'!$A$15:$A$37,0))))</f>
        <v/>
      </c>
      <c r="N8" s="21" t="str">
        <f t="shared" si="0"/>
        <v/>
      </c>
      <c r="O8" s="21" t="str">
        <f t="shared" si="0"/>
        <v/>
      </c>
      <c r="P8" s="21" t="str">
        <f t="shared" si="0"/>
        <v/>
      </c>
      <c r="Q8" s="21" t="str">
        <f t="shared" si="0"/>
        <v/>
      </c>
      <c r="R8" s="21">
        <f>IF($G8="Faltante",IFERROR($C8*INDEX(Aux_Sensibilidad!$C$5:$I$20,MATCH($C$23&amp;"|"&amp;"Nexus",Aux_Sensibilidad!$B$5:$B$20,0),3),0),0)</f>
        <v>0</v>
      </c>
      <c r="S8" s="21">
        <f>IF($G8="Faltante",IFERROR($C8*INDEX(Aux_Sensibilidad!$C$5:$I$20,MATCH($C$23&amp;"|"&amp;"LeSS",Aux_Sensibilidad!$B$5:$B$20,0),3),0),0)</f>
        <v>0</v>
      </c>
      <c r="T8" s="21">
        <f>IF($G8="Faltante",IFERROR($C8*INDEX(Aux_Sensibilidad!$C$5:$I$20,MATCH($C$23&amp;"|"&amp;"SAFe",Aux_Sensibilidad!$B$5:$B$20,0),3),0),0)</f>
        <v>0</v>
      </c>
      <c r="U8" s="21">
        <f>IF($G8="Faltante",IFERROR($C8*INDEX(Aux_Sensibilidad!$C$5:$I$20,MATCH($C$23&amp;"|"&amp;"Disciplined Agile",Aux_Sensibilidad!$B$5:$B$20,0),3),0),0)</f>
        <v>0</v>
      </c>
    </row>
    <row r="9" spans="1:21" ht="60" customHeight="1" x14ac:dyDescent="0.55000000000000004">
      <c r="A9" s="17" t="s">
        <v>40</v>
      </c>
      <c r="B9" s="18" t="str">
        <f>'1_Criterios_Pesos'!B8</f>
        <v>Gobernanza y cumplimiento</v>
      </c>
      <c r="C9" s="19">
        <f>'1_Criterios_Pesos'!D8</f>
        <v>0.1</v>
      </c>
      <c r="D9" s="13" t="str">
        <f>'1_Criterios_Pesos'!E8</f>
        <v>No</v>
      </c>
      <c r="E9" s="16"/>
      <c r="F9" s="8"/>
      <c r="G9" s="8"/>
      <c r="H9" s="16"/>
      <c r="I9" s="18" t="str">
        <f t="shared" si="1"/>
        <v/>
      </c>
      <c r="J9" s="20" t="str">
        <f>IF($G9="Faltante",PUNTAJE_NEUTRO,IF($I9="","",INDEX('2_Escalas_Reglas'!$E$15:$E$37,MATCH($A9&amp;"|"&amp;$I9,'2_Escalas_Reglas'!$A$15:$A$37,0))))</f>
        <v/>
      </c>
      <c r="K9" s="20" t="str">
        <f>IF($G9="Faltante",PUNTAJE_NEUTRO,IF($I9="","",INDEX('2_Escalas_Reglas'!$F$15:$F$37,MATCH($A9&amp;"|"&amp;$I9,'2_Escalas_Reglas'!$A$15:$A$37,0))))</f>
        <v/>
      </c>
      <c r="L9" s="20" t="str">
        <f>IF($G9="Faltante",PUNTAJE_NEUTRO,IF($I9="","",INDEX('2_Escalas_Reglas'!$G$15:$G$37,MATCH($A9&amp;"|"&amp;$I9,'2_Escalas_Reglas'!$A$15:$A$37,0))))</f>
        <v/>
      </c>
      <c r="M9" s="20" t="str">
        <f>IF($G9="Faltante",PUNTAJE_NEUTRO,IF($I9="","",INDEX('2_Escalas_Reglas'!$H$15:$H$37,MATCH($A9&amp;"|"&amp;$I9,'2_Escalas_Reglas'!$A$15:$A$37,0))))</f>
        <v/>
      </c>
      <c r="N9" s="21" t="str">
        <f t="shared" si="0"/>
        <v/>
      </c>
      <c r="O9" s="21" t="str">
        <f t="shared" si="0"/>
        <v/>
      </c>
      <c r="P9" s="21" t="str">
        <f t="shared" si="0"/>
        <v/>
      </c>
      <c r="Q9" s="21" t="str">
        <f t="shared" si="0"/>
        <v/>
      </c>
      <c r="R9" s="21">
        <f>IF($G9="Faltante",IFERROR($C9*INDEX(Aux_Sensibilidad!$C$5:$I$20,MATCH($C$23&amp;"|"&amp;"Nexus",Aux_Sensibilidad!$B$5:$B$20,0),4),0),0)</f>
        <v>0</v>
      </c>
      <c r="S9" s="21">
        <f>IF($G9="Faltante",IFERROR($C9*INDEX(Aux_Sensibilidad!$C$5:$I$20,MATCH($C$23&amp;"|"&amp;"LeSS",Aux_Sensibilidad!$B$5:$B$20,0),4),0),0)</f>
        <v>0</v>
      </c>
      <c r="T9" s="21">
        <f>IF($G9="Faltante",IFERROR($C9*INDEX(Aux_Sensibilidad!$C$5:$I$20,MATCH($C$23&amp;"|"&amp;"SAFe",Aux_Sensibilidad!$B$5:$B$20,0),4),0),0)</f>
        <v>0</v>
      </c>
      <c r="U9" s="21">
        <f>IF($G9="Faltante",IFERROR($C9*INDEX(Aux_Sensibilidad!$C$5:$I$20,MATCH($C$23&amp;"|"&amp;"Disciplined Agile",Aux_Sensibilidad!$B$5:$B$20,0),4),0),0)</f>
        <v>0</v>
      </c>
    </row>
    <row r="10" spans="1:21" ht="60" customHeight="1" x14ac:dyDescent="0.55000000000000004">
      <c r="A10" s="17" t="s">
        <v>45</v>
      </c>
      <c r="B10" s="18" t="str">
        <f>'1_Criterios_Pesos'!B9</f>
        <v>Alineamiento estratégico y portafolio</v>
      </c>
      <c r="C10" s="19">
        <f>'1_Criterios_Pesos'!D9</f>
        <v>0.15</v>
      </c>
      <c r="D10" s="13" t="str">
        <f>'1_Criterios_Pesos'!E9</f>
        <v>No</v>
      </c>
      <c r="E10" s="16"/>
      <c r="F10" s="8"/>
      <c r="G10" s="8"/>
      <c r="H10" s="16"/>
      <c r="I10" s="18" t="str">
        <f t="shared" si="1"/>
        <v/>
      </c>
      <c r="J10" s="20" t="str">
        <f>IF($G10="Faltante",PUNTAJE_NEUTRO,IF($I10="","",INDEX('2_Escalas_Reglas'!$E$15:$E$37,MATCH($A10&amp;"|"&amp;$I10,'2_Escalas_Reglas'!$A$15:$A$37,0))))</f>
        <v/>
      </c>
      <c r="K10" s="20" t="str">
        <f>IF($G10="Faltante",PUNTAJE_NEUTRO,IF($I10="","",INDEX('2_Escalas_Reglas'!$F$15:$F$37,MATCH($A10&amp;"|"&amp;$I10,'2_Escalas_Reglas'!$A$15:$A$37,0))))</f>
        <v/>
      </c>
      <c r="L10" s="20" t="str">
        <f>IF($G10="Faltante",PUNTAJE_NEUTRO,IF($I10="","",INDEX('2_Escalas_Reglas'!$G$15:$G$37,MATCH($A10&amp;"|"&amp;$I10,'2_Escalas_Reglas'!$A$15:$A$37,0))))</f>
        <v/>
      </c>
      <c r="M10" s="20" t="str">
        <f>IF($G10="Faltante",PUNTAJE_NEUTRO,IF($I10="","",INDEX('2_Escalas_Reglas'!$H$15:$H$37,MATCH($A10&amp;"|"&amp;$I10,'2_Escalas_Reglas'!$A$15:$A$37,0))))</f>
        <v/>
      </c>
      <c r="N10" s="21" t="str">
        <f t="shared" si="0"/>
        <v/>
      </c>
      <c r="O10" s="21" t="str">
        <f t="shared" si="0"/>
        <v/>
      </c>
      <c r="P10" s="21" t="str">
        <f t="shared" si="0"/>
        <v/>
      </c>
      <c r="Q10" s="21" t="str">
        <f t="shared" si="0"/>
        <v/>
      </c>
      <c r="R10" s="21">
        <f>IF($G10="Faltante",IFERROR($C10*INDEX(Aux_Sensibilidad!$C$5:$I$20,MATCH($C$23&amp;"|"&amp;"Nexus",Aux_Sensibilidad!$B$5:$B$20,0),5),0),0)</f>
        <v>0</v>
      </c>
      <c r="S10" s="21">
        <f>IF($G10="Faltante",IFERROR($C10*INDEX(Aux_Sensibilidad!$C$5:$I$20,MATCH($C$23&amp;"|"&amp;"LeSS",Aux_Sensibilidad!$B$5:$B$20,0),5),0),0)</f>
        <v>0</v>
      </c>
      <c r="T10" s="21">
        <f>IF($G10="Faltante",IFERROR($C10*INDEX(Aux_Sensibilidad!$C$5:$I$20,MATCH($C$23&amp;"|"&amp;"SAFe",Aux_Sensibilidad!$B$5:$B$20,0),5),0),0)</f>
        <v>0</v>
      </c>
      <c r="U10" s="21">
        <f>IF($G10="Faltante",IFERROR($C10*INDEX(Aux_Sensibilidad!$C$5:$I$20,MATCH($C$23&amp;"|"&amp;"Disciplined Agile",Aux_Sensibilidad!$B$5:$B$20,0),5),0),0)</f>
        <v>0</v>
      </c>
    </row>
    <row r="11" spans="1:21" ht="60" customHeight="1" x14ac:dyDescent="0.55000000000000004">
      <c r="A11" s="17" t="s">
        <v>50</v>
      </c>
      <c r="B11" s="18" t="str">
        <f>'1_Criterios_Pesos'!B10</f>
        <v>Autonomía y adaptación del proceso</v>
      </c>
      <c r="C11" s="19">
        <f>'1_Criterios_Pesos'!D10</f>
        <v>0.1</v>
      </c>
      <c r="D11" s="13" t="str">
        <f>'1_Criterios_Pesos'!E10</f>
        <v>No</v>
      </c>
      <c r="E11" s="16"/>
      <c r="F11" s="8"/>
      <c r="G11" s="8"/>
      <c r="H11" s="16"/>
      <c r="I11" s="18" t="str">
        <f t="shared" si="1"/>
        <v/>
      </c>
      <c r="J11" s="20" t="str">
        <f>IF($G11="Faltante",PUNTAJE_NEUTRO,IF($I11="","",INDEX('2_Escalas_Reglas'!$E$15:$E$37,MATCH($A11&amp;"|"&amp;$I11,'2_Escalas_Reglas'!$A$15:$A$37,0))))</f>
        <v/>
      </c>
      <c r="K11" s="20" t="str">
        <f>IF($G11="Faltante",PUNTAJE_NEUTRO,IF($I11="","",INDEX('2_Escalas_Reglas'!$F$15:$F$37,MATCH($A11&amp;"|"&amp;$I11,'2_Escalas_Reglas'!$A$15:$A$37,0))))</f>
        <v/>
      </c>
      <c r="L11" s="20" t="str">
        <f>IF($G11="Faltante",PUNTAJE_NEUTRO,IF($I11="","",INDEX('2_Escalas_Reglas'!$G$15:$G$37,MATCH($A11&amp;"|"&amp;$I11,'2_Escalas_Reglas'!$A$15:$A$37,0))))</f>
        <v/>
      </c>
      <c r="M11" s="20" t="str">
        <f>IF($G11="Faltante",PUNTAJE_NEUTRO,IF($I11="","",INDEX('2_Escalas_Reglas'!$H$15:$H$37,MATCH($A11&amp;"|"&amp;$I11,'2_Escalas_Reglas'!$A$15:$A$37,0))))</f>
        <v/>
      </c>
      <c r="N11" s="21" t="str">
        <f t="shared" si="0"/>
        <v/>
      </c>
      <c r="O11" s="21" t="str">
        <f t="shared" si="0"/>
        <v/>
      </c>
      <c r="P11" s="21" t="str">
        <f t="shared" si="0"/>
        <v/>
      </c>
      <c r="Q11" s="21" t="str">
        <f t="shared" si="0"/>
        <v/>
      </c>
      <c r="R11" s="21">
        <f>IF($G11="Faltante",IFERROR($C11*INDEX(Aux_Sensibilidad!$C$5:$I$20,MATCH($C$23&amp;"|"&amp;"Nexus",Aux_Sensibilidad!$B$5:$B$20,0),6),0),0)</f>
        <v>0</v>
      </c>
      <c r="S11" s="21">
        <f>IF($G11="Faltante",IFERROR($C11*INDEX(Aux_Sensibilidad!$C$5:$I$20,MATCH($C$23&amp;"|"&amp;"LeSS",Aux_Sensibilidad!$B$5:$B$20,0),6),0),0)</f>
        <v>0</v>
      </c>
      <c r="T11" s="21">
        <f>IF($G11="Faltante",IFERROR($C11*INDEX(Aux_Sensibilidad!$C$5:$I$20,MATCH($C$23&amp;"|"&amp;"SAFe",Aux_Sensibilidad!$B$5:$B$20,0),6),0),0)</f>
        <v>0</v>
      </c>
      <c r="U11" s="21">
        <f>IF($G11="Faltante",IFERROR($C11*INDEX(Aux_Sensibilidad!$C$5:$I$20,MATCH($C$23&amp;"|"&amp;"Disciplined Agile",Aux_Sensibilidad!$B$5:$B$20,0),6),0),0)</f>
        <v>0</v>
      </c>
    </row>
    <row r="12" spans="1:21" ht="60" customHeight="1" x14ac:dyDescent="0.55000000000000004">
      <c r="A12" s="17" t="s">
        <v>55</v>
      </c>
      <c r="B12" s="18" t="str">
        <f>'1_Criterios_Pesos'!B11</f>
        <v>Heterogeneidad del trabajo y ciclos de vida</v>
      </c>
      <c r="C12" s="19">
        <f>'1_Criterios_Pesos'!D11</f>
        <v>0.15</v>
      </c>
      <c r="D12" s="13" t="str">
        <f>'1_Criterios_Pesos'!E11</f>
        <v>Sí</v>
      </c>
      <c r="E12" s="16"/>
      <c r="F12" s="8"/>
      <c r="G12" s="8"/>
      <c r="H12" s="16"/>
      <c r="I12" s="18" t="str">
        <f t="shared" si="1"/>
        <v/>
      </c>
      <c r="J12" s="20" t="str">
        <f>IF($G12="Faltante",PUNTAJE_NEUTRO,IF($I12="","",INDEX('2_Escalas_Reglas'!$E$15:$E$37,MATCH($A12&amp;"|"&amp;$I12,'2_Escalas_Reglas'!$A$15:$A$37,0))))</f>
        <v/>
      </c>
      <c r="K12" s="20" t="str">
        <f>IF($G12="Faltante",PUNTAJE_NEUTRO,IF($I12="","",INDEX('2_Escalas_Reglas'!$F$15:$F$37,MATCH($A12&amp;"|"&amp;$I12,'2_Escalas_Reglas'!$A$15:$A$37,0))))</f>
        <v/>
      </c>
      <c r="L12" s="20" t="str">
        <f>IF($G12="Faltante",PUNTAJE_NEUTRO,IF($I12="","",INDEX('2_Escalas_Reglas'!$G$15:$G$37,MATCH($A12&amp;"|"&amp;$I12,'2_Escalas_Reglas'!$A$15:$A$37,0))))</f>
        <v/>
      </c>
      <c r="M12" s="20" t="str">
        <f>IF($G12="Faltante",PUNTAJE_NEUTRO,IF($I12="","",INDEX('2_Escalas_Reglas'!$H$15:$H$37,MATCH($A12&amp;"|"&amp;$I12,'2_Escalas_Reglas'!$A$15:$A$37,0))))</f>
        <v/>
      </c>
      <c r="N12" s="21" t="str">
        <f t="shared" si="0"/>
        <v/>
      </c>
      <c r="O12" s="21" t="str">
        <f t="shared" si="0"/>
        <v/>
      </c>
      <c r="P12" s="21" t="str">
        <f t="shared" si="0"/>
        <v/>
      </c>
      <c r="Q12" s="21" t="str">
        <f t="shared" si="0"/>
        <v/>
      </c>
      <c r="R12" s="21">
        <f>IF($G12="Faltante",IFERROR($C12*INDEX(Aux_Sensibilidad!$C$5:$I$20,MATCH($C$23&amp;"|"&amp;"Nexus",Aux_Sensibilidad!$B$5:$B$20,0),7),0),0)</f>
        <v>0</v>
      </c>
      <c r="S12" s="21">
        <f>IF($G12="Faltante",IFERROR($C12*INDEX(Aux_Sensibilidad!$C$5:$I$20,MATCH($C$23&amp;"|"&amp;"LeSS",Aux_Sensibilidad!$B$5:$B$20,0),7),0),0)</f>
        <v>0</v>
      </c>
      <c r="T12" s="21">
        <f>IF($G12="Faltante",IFERROR($C12*INDEX(Aux_Sensibilidad!$C$5:$I$20,MATCH($C$23&amp;"|"&amp;"SAFe",Aux_Sensibilidad!$B$5:$B$20,0),7),0),0)</f>
        <v>0</v>
      </c>
      <c r="U12" s="21">
        <f>IF($G12="Faltante",IFERROR($C12*INDEX(Aux_Sensibilidad!$C$5:$I$20,MATCH($C$23&amp;"|"&amp;"Disciplined Agile",Aux_Sensibilidad!$B$5:$B$20,0),7),0),0)</f>
        <v>0</v>
      </c>
    </row>
    <row r="13" spans="1:21" x14ac:dyDescent="0.55000000000000004">
      <c r="I13" s="2" t="s">
        <v>208</v>
      </c>
      <c r="N13" s="22">
        <f t="shared" ref="N13:U13" si="2">SUM(N6:N12)</f>
        <v>0</v>
      </c>
      <c r="O13" s="22">
        <f t="shared" si="2"/>
        <v>0</v>
      </c>
      <c r="P13" s="22">
        <f t="shared" si="2"/>
        <v>0</v>
      </c>
      <c r="Q13" s="22">
        <f t="shared" si="2"/>
        <v>0</v>
      </c>
      <c r="R13" s="23">
        <f t="shared" si="2"/>
        <v>0</v>
      </c>
      <c r="S13" s="23">
        <f t="shared" si="2"/>
        <v>0</v>
      </c>
      <c r="T13" s="23">
        <f t="shared" si="2"/>
        <v>0</v>
      </c>
      <c r="U13" s="23">
        <f t="shared" si="2"/>
        <v>0</v>
      </c>
    </row>
    <row r="15" spans="1:21" x14ac:dyDescent="0.55000000000000004">
      <c r="A15" s="11" t="s">
        <v>209</v>
      </c>
    </row>
    <row r="16" spans="1:21" ht="45" customHeight="1" x14ac:dyDescent="0.55000000000000004">
      <c r="A16" s="4" t="s">
        <v>210</v>
      </c>
      <c r="B16" s="4" t="s">
        <v>211</v>
      </c>
      <c r="C16" s="4" t="s">
        <v>212</v>
      </c>
      <c r="D16" s="4" t="s">
        <v>213</v>
      </c>
      <c r="E16" s="4" t="s">
        <v>214</v>
      </c>
      <c r="F16" s="4" t="s">
        <v>215</v>
      </c>
      <c r="G16" s="4" t="s">
        <v>216</v>
      </c>
      <c r="H16" s="4" t="s">
        <v>217</v>
      </c>
      <c r="I16" s="4" t="s">
        <v>218</v>
      </c>
      <c r="J16" s="4" t="s">
        <v>219</v>
      </c>
      <c r="K16" s="4" t="s">
        <v>220</v>
      </c>
      <c r="L16" s="4" t="s">
        <v>221</v>
      </c>
      <c r="M16" s="4" t="s">
        <v>222</v>
      </c>
      <c r="N16" s="4" t="s">
        <v>223</v>
      </c>
      <c r="O16" s="4" t="s">
        <v>224</v>
      </c>
      <c r="P16" s="4" t="s">
        <v>225</v>
      </c>
    </row>
    <row r="17" spans="1:16" x14ac:dyDescent="0.55000000000000004">
      <c r="A17" s="17" t="s">
        <v>83</v>
      </c>
      <c r="B17" s="24">
        <f>N13</f>
        <v>0</v>
      </c>
      <c r="C17" s="13" t="str">
        <f>IF(SUMPRODUCT(($D$6:$D$12="Sí")*(J$6:J$12=0)*($G$6:$G$12&lt;&gt;"Faltante"))&gt;0,"Sí","No")</f>
        <v>No</v>
      </c>
      <c r="D17" s="8" t="s">
        <v>37</v>
      </c>
      <c r="E17" s="16"/>
      <c r="F17" s="13" t="str">
        <f>IF(OR(C17="Sí",D17="Sí"),"Excluido","Elegible")</f>
        <v>Elegible</v>
      </c>
      <c r="G17" s="25">
        <f>IF(F17="Excluido",-1,B17)</f>
        <v>0</v>
      </c>
      <c r="H17" s="13">
        <f>IF(F17="Excluido","—",RANK(G17,$G$17:$G$20))</f>
        <v>1</v>
      </c>
      <c r="I17" s="13">
        <f>COUNTIF(J$6:J$12,"&lt;=1")</f>
        <v>0</v>
      </c>
      <c r="J17" s="25">
        <f>SUMIF($D$6:$D$12,"Sí",N$6:N$12)</f>
        <v>0</v>
      </c>
      <c r="K17" s="13">
        <v>4</v>
      </c>
      <c r="L17" s="13" t="b">
        <f>AND(F17="Elegible",ROUND(B17,4)&gt;=ROUND($C$22-UMBRAL_EMPATE,4))</f>
        <v>1</v>
      </c>
      <c r="M17" s="26">
        <f>IF(L17,10000-I17*1000+J17*100+K17,-1)</f>
        <v>10004</v>
      </c>
      <c r="N17" s="25" t="str">
        <f>IFERROR(IF(OR(F17="Excluido",A17=$C$23),"—",INDEX($B$17:$B$20,MATCH($C$23,$A$17:$A$20,0))-B17),"—")</f>
        <v>—</v>
      </c>
      <c r="O17" s="25">
        <f>R13</f>
        <v>0</v>
      </c>
      <c r="P17" s="25" t="str">
        <f>IFERROR(IF(OR(F17="Excluido",A17=$C$23),"—",N17+O17),"—")</f>
        <v>—</v>
      </c>
    </row>
    <row r="18" spans="1:16" x14ac:dyDescent="0.55000000000000004">
      <c r="A18" s="17" t="s">
        <v>84</v>
      </c>
      <c r="B18" s="24">
        <f>O13</f>
        <v>0</v>
      </c>
      <c r="C18" s="13" t="str">
        <f>IF(SUMPRODUCT(($D$6:$D$12="Sí")*(K$6:K$12=0)*($G$6:$G$12&lt;&gt;"Faltante"))&gt;0,"Sí","No")</f>
        <v>No</v>
      </c>
      <c r="D18" s="8" t="s">
        <v>37</v>
      </c>
      <c r="E18" s="16"/>
      <c r="F18" s="13" t="str">
        <f>IF(OR(C18="Sí",D18="Sí"),"Excluido","Elegible")</f>
        <v>Elegible</v>
      </c>
      <c r="G18" s="25">
        <f>IF(F18="Excluido",-1,B18)</f>
        <v>0</v>
      </c>
      <c r="H18" s="13">
        <f>IF(F18="Excluido","—",RANK(G18,$G$17:$G$20))</f>
        <v>1</v>
      </c>
      <c r="I18" s="13">
        <f>COUNTIF(K$6:K$12,"&lt;=1")</f>
        <v>0</v>
      </c>
      <c r="J18" s="25">
        <f>SUMIF($D$6:$D$12,"Sí",O$6:O$12)</f>
        <v>0</v>
      </c>
      <c r="K18" s="13">
        <v>3</v>
      </c>
      <c r="L18" s="13" t="b">
        <f>AND(F18="Elegible",ROUND(B18,4)&gt;=ROUND($C$22-UMBRAL_EMPATE,4))</f>
        <v>1</v>
      </c>
      <c r="M18" s="26">
        <f>IF(L18,10000-I18*1000+J18*100+K18,-1)</f>
        <v>10003</v>
      </c>
      <c r="N18" s="25" t="str">
        <f>IFERROR(IF(OR(F18="Excluido",A18=$C$23),"—",INDEX($B$17:$B$20,MATCH($C$23,$A$17:$A$20,0))-B18),"—")</f>
        <v>—</v>
      </c>
      <c r="O18" s="25">
        <f>S13</f>
        <v>0</v>
      </c>
      <c r="P18" s="25" t="str">
        <f>IFERROR(IF(OR(F18="Excluido",A18=$C$23),"—",N18+O18),"—")</f>
        <v>—</v>
      </c>
    </row>
    <row r="19" spans="1:16" x14ac:dyDescent="0.55000000000000004">
      <c r="A19" s="17" t="s">
        <v>85</v>
      </c>
      <c r="B19" s="24">
        <f>P13</f>
        <v>0</v>
      </c>
      <c r="C19" s="13" t="str">
        <f>IF(SUMPRODUCT(($D$6:$D$12="Sí")*(L$6:L$12=0)*($G$6:$G$12&lt;&gt;"Faltante"))&gt;0,"Sí","No")</f>
        <v>No</v>
      </c>
      <c r="D19" s="8" t="s">
        <v>37</v>
      </c>
      <c r="E19" s="16"/>
      <c r="F19" s="13" t="str">
        <f>IF(OR(C19="Sí",D19="Sí"),"Excluido","Elegible")</f>
        <v>Elegible</v>
      </c>
      <c r="G19" s="25">
        <f>IF(F19="Excluido",-1,B19)</f>
        <v>0</v>
      </c>
      <c r="H19" s="13">
        <f>IF(F19="Excluido","—",RANK(G19,$G$17:$G$20))</f>
        <v>1</v>
      </c>
      <c r="I19" s="13">
        <f>COUNTIF(L$6:L$12,"&lt;=1")</f>
        <v>0</v>
      </c>
      <c r="J19" s="25">
        <f>SUMIF($D$6:$D$12,"Sí",P$6:P$12)</f>
        <v>0</v>
      </c>
      <c r="K19" s="13">
        <v>1</v>
      </c>
      <c r="L19" s="13" t="b">
        <f>AND(F19="Elegible",ROUND(B19,4)&gt;=ROUND($C$22-UMBRAL_EMPATE,4))</f>
        <v>1</v>
      </c>
      <c r="M19" s="26">
        <f>IF(L19,10000-I19*1000+J19*100+K19,-1)</f>
        <v>10001</v>
      </c>
      <c r="N19" s="25" t="str">
        <f>IFERROR(IF(OR(F19="Excluido",A19=$C$23),"—",INDEX($B$17:$B$20,MATCH($C$23,$A$17:$A$20,0))-B19),"—")</f>
        <v>—</v>
      </c>
      <c r="O19" s="25">
        <f>T13</f>
        <v>0</v>
      </c>
      <c r="P19" s="25" t="str">
        <f>IFERROR(IF(OR(F19="Excluido",A19=$C$23),"—",N19+O19),"—")</f>
        <v>—</v>
      </c>
    </row>
    <row r="20" spans="1:16" ht="28.8" x14ac:dyDescent="0.55000000000000004">
      <c r="A20" s="17" t="s">
        <v>190</v>
      </c>
      <c r="B20" s="24">
        <f>Q13</f>
        <v>0</v>
      </c>
      <c r="C20" s="13" t="str">
        <f>IF(SUMPRODUCT(($D$6:$D$12="Sí")*(M$6:M$12=0)*($G$6:$G$12&lt;&gt;"Faltante"))&gt;0,"Sí","No")</f>
        <v>No</v>
      </c>
      <c r="D20" s="8" t="s">
        <v>37</v>
      </c>
      <c r="E20" s="16"/>
      <c r="F20" s="13" t="str">
        <f>IF(OR(C20="Sí",D20="Sí"),"Excluido","Elegible")</f>
        <v>Elegible</v>
      </c>
      <c r="G20" s="25">
        <f>IF(F20="Excluido",-1,B20)</f>
        <v>0</v>
      </c>
      <c r="H20" s="13">
        <f>IF(F20="Excluido","—",RANK(G20,$G$17:$G$20))</f>
        <v>1</v>
      </c>
      <c r="I20" s="13">
        <f>COUNTIF(M$6:M$12,"&lt;=1")</f>
        <v>0</v>
      </c>
      <c r="J20" s="25">
        <f>SUMIF($D$6:$D$12,"Sí",Q$6:Q$12)</f>
        <v>0</v>
      </c>
      <c r="K20" s="13">
        <v>2</v>
      </c>
      <c r="L20" s="13" t="b">
        <f>AND(F20="Elegible",ROUND(B20,4)&gt;=ROUND($C$22-UMBRAL_EMPATE,4))</f>
        <v>1</v>
      </c>
      <c r="M20" s="26">
        <f>IF(L20,10000-I20*1000+J20*100+K20,-1)</f>
        <v>10002</v>
      </c>
      <c r="N20" s="25" t="str">
        <f>IFERROR(IF(OR(F20="Excluido",A20=$C$23),"—",INDEX($B$17:$B$20,MATCH($C$23,$A$17:$A$20,0))-B20),"—")</f>
        <v>—</v>
      </c>
      <c r="O20" s="25">
        <f>U13</f>
        <v>0</v>
      </c>
      <c r="P20" s="25" t="str">
        <f>IFERROR(IF(OR(F20="Excluido",A20=$C$23),"—",N20+O20),"—")</f>
        <v>—</v>
      </c>
    </row>
    <row r="22" spans="1:16" ht="18" customHeight="1" x14ac:dyDescent="0.55000000000000004">
      <c r="A22" s="33" t="s">
        <v>226</v>
      </c>
      <c r="B22" s="28"/>
      <c r="C22" s="34">
        <f>MAX(G17:G20)</f>
        <v>0</v>
      </c>
      <c r="D22" s="28"/>
      <c r="E22" s="28"/>
      <c r="F22" s="28"/>
      <c r="G22" s="28"/>
      <c r="H22" s="28"/>
    </row>
    <row r="23" spans="1:16" ht="30" customHeight="1" x14ac:dyDescent="0.55000000000000004">
      <c r="A23" s="33" t="s">
        <v>227</v>
      </c>
      <c r="B23" s="28"/>
      <c r="C23" s="36" t="str">
        <f>IF(COUNTA(G6:G12)&lt;7,"Complete el estado de los 7 criterios",IF(MAX(M17:M20)&lt;0,"Ninguno compatible",INDEX(A17:A20,MATCH(MAX(M17:M20),M17:M20,0))))</f>
        <v>Complete el estado de los 7 criterios</v>
      </c>
      <c r="D23" s="28"/>
      <c r="E23" s="28"/>
      <c r="F23" s="28"/>
      <c r="G23" s="28"/>
      <c r="H23" s="28"/>
    </row>
    <row r="24" spans="1:16" ht="18" customHeight="1" x14ac:dyDescent="0.55000000000000004">
      <c r="A24" s="33" t="s">
        <v>228</v>
      </c>
      <c r="B24" s="28"/>
      <c r="C24" s="34" t="str">
        <f>IFERROR(INDEX(B17:B20,MATCH(C23,A17:A20,0)),"—")</f>
        <v>—</v>
      </c>
      <c r="D24" s="28"/>
      <c r="E24" s="28"/>
      <c r="F24" s="28"/>
      <c r="G24" s="28"/>
      <c r="H24" s="28"/>
    </row>
    <row r="25" spans="1:16" ht="18" customHeight="1" x14ac:dyDescent="0.55000000000000004">
      <c r="A25" s="33" t="s">
        <v>229</v>
      </c>
      <c r="B25" s="28"/>
      <c r="C25" s="32" t="str">
        <f>IFERROR(INDEX(A17:A20,MATCH(LARGE(G17:G20,2),G17:G20,0)),"—")</f>
        <v>Nexus</v>
      </c>
      <c r="D25" s="28"/>
      <c r="E25" s="28"/>
      <c r="F25" s="28"/>
      <c r="G25" s="28"/>
      <c r="H25" s="28"/>
    </row>
    <row r="26" spans="1:16" ht="18" customHeight="1" x14ac:dyDescent="0.55000000000000004">
      <c r="A26" s="33" t="s">
        <v>230</v>
      </c>
      <c r="B26" s="28"/>
      <c r="C26" s="34">
        <f>IF(LARGE(G17:G20,2)&lt;0,"—",LARGE(G17:G20,1)-LARGE(G17:G20,2))</f>
        <v>0</v>
      </c>
      <c r="D26" s="28"/>
      <c r="E26" s="28"/>
      <c r="F26" s="28"/>
      <c r="G26" s="28"/>
      <c r="H26" s="28"/>
    </row>
    <row r="27" spans="1:16" ht="18" customHeight="1" x14ac:dyDescent="0.55000000000000004">
      <c r="A27" s="33" t="s">
        <v>231</v>
      </c>
      <c r="B27" s="28"/>
      <c r="C27" s="32" t="str">
        <f>IF(COUNTIF(L17:L20,TRUE)&gt;1,"Sí: se aplicó la regla R6 de desempate","No")</f>
        <v>Sí: se aplicó la regla R6 de desempate</v>
      </c>
      <c r="D27" s="28"/>
      <c r="E27" s="28"/>
      <c r="F27" s="28"/>
      <c r="G27" s="28"/>
      <c r="H27" s="28"/>
    </row>
    <row r="28" spans="1:16" ht="18" customHeight="1" x14ac:dyDescent="0.55000000000000004">
      <c r="A28" s="33" t="s">
        <v>232</v>
      </c>
      <c r="B28" s="28"/>
      <c r="C28" s="37">
        <f>SUMIF(G6:G12,"Explícito",C6:C12)</f>
        <v>0</v>
      </c>
      <c r="D28" s="28"/>
      <c r="E28" s="28"/>
      <c r="F28" s="28"/>
      <c r="G28" s="28"/>
      <c r="H28" s="28"/>
    </row>
    <row r="29" spans="1:16" ht="18" customHeight="1" x14ac:dyDescent="0.55000000000000004">
      <c r="A29" s="33" t="s">
        <v>233</v>
      </c>
      <c r="B29" s="28"/>
      <c r="C29" s="37">
        <f>SUMIF(G6:G12,"Inferido",C6:C12)</f>
        <v>0</v>
      </c>
      <c r="D29" s="28"/>
      <c r="E29" s="28"/>
      <c r="F29" s="28"/>
      <c r="G29" s="28"/>
      <c r="H29" s="28"/>
    </row>
    <row r="30" spans="1:16" ht="18" customHeight="1" x14ac:dyDescent="0.55000000000000004">
      <c r="A30" s="33" t="s">
        <v>234</v>
      </c>
      <c r="B30" s="28"/>
      <c r="C30" s="37">
        <f>SUMIF(G6:G12,"Faltante",C6:C12)</f>
        <v>0</v>
      </c>
      <c r="D30" s="28"/>
      <c r="E30" s="28"/>
      <c r="F30" s="28"/>
      <c r="G30" s="28"/>
      <c r="H30" s="28"/>
    </row>
    <row r="31" spans="1:16" ht="30" customHeight="1" x14ac:dyDescent="0.55000000000000004">
      <c r="A31" s="33" t="s">
        <v>235</v>
      </c>
      <c r="B31" s="28"/>
      <c r="C31" s="35" t="str">
        <f>IF(COUNTA(G6:G12)&lt;7,"—",IF(C30=0,"Robusta: no hay datos faltantes",IF(COUNTIF(P17:P20,"&lt;=0")&gt;0,"SENSIBLE: los datos faltantes pueden cambiar la recomendación; solicitar aclaración","Robusta: ningún valor posible de los datos faltantes cambia la recomendación")))</f>
        <v>—</v>
      </c>
      <c r="D31" s="28"/>
      <c r="E31" s="28"/>
      <c r="F31" s="28"/>
      <c r="G31" s="28"/>
      <c r="H31" s="28"/>
    </row>
  </sheetData>
  <mergeCells count="21">
    <mergeCell ref="B2:Q2"/>
    <mergeCell ref="C30:H30"/>
    <mergeCell ref="A22:B22"/>
    <mergeCell ref="C24:H24"/>
    <mergeCell ref="A29:B29"/>
    <mergeCell ref="A28:B28"/>
    <mergeCell ref="C26:H26"/>
    <mergeCell ref="C29:H29"/>
    <mergeCell ref="C25:H25"/>
    <mergeCell ref="A24:B24"/>
    <mergeCell ref="A30:B30"/>
    <mergeCell ref="C22:H22"/>
    <mergeCell ref="C31:H31"/>
    <mergeCell ref="A25:B25"/>
    <mergeCell ref="C27:H27"/>
    <mergeCell ref="C23:H23"/>
    <mergeCell ref="A27:B27"/>
    <mergeCell ref="A26:B26"/>
    <mergeCell ref="C28:H28"/>
    <mergeCell ref="A23:B23"/>
    <mergeCell ref="A31:B31"/>
  </mergeCells>
  <conditionalFormatting sqref="F17:F20">
    <cfRule type="cellIs" dxfId="1" priority="1" operator="equal">
      <formula>"Excluido"</formula>
    </cfRule>
  </conditionalFormatting>
  <conditionalFormatting sqref="P17:P20">
    <cfRule type="expression" dxfId="0" priority="2">
      <formula>AND(ISNUMBER(P17),P17&lt;=0)</formula>
    </cfRule>
  </conditionalFormatting>
  <dataValidations count="8">
    <dataValidation type="list" allowBlank="1" sqref="G6 G7 G8 G9 G10 G11 G12" xr:uid="{00000000-0002-0000-0500-000000000000}">
      <formula1>"Explícito,Inferido,Faltante"</formula1>
    </dataValidation>
    <dataValidation type="whole" operator="greaterThanOrEqual" allowBlank="1" sqref="F6" xr:uid="{00000000-0002-0000-0500-000001000000}">
      <formula1>1</formula1>
    </dataValidation>
    <dataValidation type="list" allowBlank="1" sqref="F7" xr:uid="{00000000-0002-0000-0500-000002000000}">
      <formula1>"Un solo producto,Varias soluciones interdependientes,Productos o proyectos independientes"</formula1>
    </dataValidation>
    <dataValidation type="list" allowBlank="1" sqref="F8" xr:uid="{00000000-0002-0000-0500-000003000000}">
      <formula1>"Bajas,Medias,Altas"</formula1>
    </dataValidation>
    <dataValidation type="list" allowBlank="1" sqref="F9" xr:uid="{00000000-0002-0000-0500-000004000000}">
      <formula1>"Ligera,Variable por contrato o cliente,Regulatoria formal"</formula1>
    </dataValidation>
    <dataValidation type="list" allowBlank="1" sqref="F10" xr:uid="{00000000-0002-0000-0500-000005000000}">
      <formula1>"Bajo,Medio,Alto"</formula1>
    </dataValidation>
    <dataValidation type="list" allowBlank="1" sqref="F11:F12" xr:uid="{00000000-0002-0000-0500-000006000000}">
      <formula1>"Baja,Media,Alta"</formula1>
    </dataValidation>
    <dataValidation type="list" sqref="D17 D18 D19 D20" xr:uid="{00000000-0002-0000-0500-000008000000}">
      <formula1>"Sí,No"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Instrucciones</vt:lpstr>
      <vt:lpstr>1_Criterios_Pesos</vt:lpstr>
      <vt:lpstr>2_Escalas_Reglas</vt:lpstr>
      <vt:lpstr>3_Reglas_Decision</vt:lpstr>
      <vt:lpstr>Aux_Sensibilidad</vt:lpstr>
      <vt:lpstr>Plantilla</vt:lpstr>
      <vt:lpstr>PUNTAJE_NEUTRO</vt:lpstr>
      <vt:lpstr>UMBRAL_EMPATE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Ney Fred Jimenez Campos</cp:lastModifiedBy>
  <dcterms:created xsi:type="dcterms:W3CDTF">2026-10-29T02:30:20Z</dcterms:created>
  <dcterms:modified xsi:type="dcterms:W3CDTF">2026-10-29T02:30:36Z</dcterms:modified>
</cp:coreProperties>
</file>